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8FEE492536875354/Documents/"/>
    </mc:Choice>
  </mc:AlternateContent>
  <xr:revisionPtr revIDLastSave="1" documentId="8_{3E06DE73-4428-4A5E-B030-73F63AFB7372}" xr6:coauthVersionLast="47" xr6:coauthVersionMax="47" xr10:uidLastSave="{9B505C18-2863-4E7E-BC6F-DD47AEF9BB86}"/>
  <bookViews>
    <workbookView xWindow="-120" yWindow="-120" windowWidth="23280" windowHeight="14880" xr2:uid="{7D74045B-72C5-46C7-B88E-5C75420E984C}"/>
  </bookViews>
  <sheets>
    <sheet name="Play By Play" sheetId="1" r:id="rId1"/>
    <sheet name="Run_Pass_Stats" sheetId="4" r:id="rId2"/>
    <sheet name="Formation_Stats" sheetId="5" r:id="rId3"/>
    <sheet name="TD_Stats" sheetId="7"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1" l="1"/>
  <c r="E57" i="1"/>
  <c r="J57" i="1"/>
  <c r="C56" i="1"/>
  <c r="E56" i="1"/>
  <c r="J56" i="1"/>
  <c r="C55" i="1"/>
  <c r="E55" i="1" s="1"/>
  <c r="J55" i="1"/>
  <c r="E54" i="1"/>
  <c r="J54" i="1"/>
  <c r="E53" i="1"/>
  <c r="J53" i="1"/>
  <c r="C52" i="1"/>
  <c r="E52" i="1" s="1"/>
  <c r="J52" i="1"/>
  <c r="C51" i="1"/>
  <c r="E51" i="1"/>
  <c r="J51" i="1"/>
  <c r="E50" i="1"/>
  <c r="A51" i="1" s="1"/>
  <c r="J50" i="1"/>
  <c r="C49" i="1"/>
  <c r="E49" i="1"/>
  <c r="J49" i="1"/>
  <c r="C48" i="1"/>
  <c r="E48" i="1"/>
  <c r="J48" i="1"/>
  <c r="C47" i="1"/>
  <c r="E47" i="1"/>
  <c r="J47" i="1"/>
  <c r="C46" i="1"/>
  <c r="E46" i="1" s="1"/>
  <c r="J46" i="1"/>
  <c r="C45" i="1"/>
  <c r="E45" i="1"/>
  <c r="J45" i="1"/>
  <c r="E44" i="1"/>
  <c r="J44" i="1"/>
  <c r="C43" i="1"/>
  <c r="E43" i="1"/>
  <c r="J43" i="1"/>
  <c r="C42" i="1"/>
  <c r="E42" i="1"/>
  <c r="J42" i="1"/>
  <c r="C41" i="1"/>
  <c r="E41" i="1" s="1"/>
  <c r="J41" i="1"/>
  <c r="C40" i="1"/>
  <c r="E40" i="1"/>
  <c r="J40" i="1"/>
  <c r="C39" i="1"/>
  <c r="E39" i="1" s="1"/>
  <c r="J39" i="1"/>
  <c r="E38" i="1"/>
  <c r="A39" i="1" s="1"/>
  <c r="J38" i="1"/>
  <c r="C37" i="1"/>
  <c r="E37" i="1"/>
  <c r="J37" i="1"/>
  <c r="C36" i="1"/>
  <c r="E36" i="1"/>
  <c r="J36" i="1"/>
  <c r="C35" i="1"/>
  <c r="E35" i="1" s="1"/>
  <c r="J35" i="1"/>
  <c r="E34" i="1"/>
  <c r="A35" i="1" s="1"/>
  <c r="J34" i="1"/>
  <c r="C33" i="1"/>
  <c r="J33" i="1"/>
  <c r="C32" i="1"/>
  <c r="E32" i="1" s="1"/>
  <c r="J32" i="1"/>
  <c r="C31" i="1"/>
  <c r="E31" i="1"/>
  <c r="J31" i="1"/>
  <c r="C30" i="1"/>
  <c r="E30" i="1"/>
  <c r="J30" i="1"/>
  <c r="C29" i="1"/>
  <c r="E29" i="1"/>
  <c r="J29" i="1"/>
  <c r="E28" i="1"/>
  <c r="A29" i="1" s="1"/>
  <c r="J28" i="1"/>
  <c r="C27" i="1"/>
  <c r="J27" i="1"/>
  <c r="E26" i="1"/>
  <c r="J26" i="1"/>
  <c r="C25" i="1"/>
  <c r="E25" i="1" s="1"/>
  <c r="J25" i="1"/>
  <c r="E24" i="1"/>
  <c r="J24" i="1"/>
  <c r="C23" i="1"/>
  <c r="E23" i="1"/>
  <c r="J23" i="1"/>
  <c r="E22" i="1"/>
  <c r="J22" i="1"/>
  <c r="C21" i="1"/>
  <c r="E21" i="1" s="1"/>
  <c r="J21" i="1"/>
  <c r="E20" i="1"/>
  <c r="A21" i="1" s="1"/>
  <c r="J20" i="1"/>
  <c r="C19" i="1"/>
  <c r="J19" i="1"/>
  <c r="E18" i="1"/>
  <c r="A19" i="1" s="1"/>
  <c r="J18" i="1"/>
  <c r="J3" i="1"/>
  <c r="J4" i="1"/>
  <c r="J5" i="1"/>
  <c r="J6" i="1"/>
  <c r="J7" i="1"/>
  <c r="J8" i="1"/>
  <c r="J9" i="1"/>
  <c r="J10" i="1"/>
  <c r="J11" i="1"/>
  <c r="J12" i="1"/>
  <c r="J13" i="1"/>
  <c r="J14" i="1"/>
  <c r="J15" i="1"/>
  <c r="J16" i="1"/>
  <c r="J17" i="1"/>
  <c r="J2" i="1"/>
  <c r="E17" i="1"/>
  <c r="A18" i="1" s="1"/>
  <c r="C16" i="1"/>
  <c r="C15" i="1"/>
  <c r="E15" i="1"/>
  <c r="C14" i="1"/>
  <c r="E14" i="1" s="1"/>
  <c r="E13" i="1"/>
  <c r="C12" i="1"/>
  <c r="E12" i="1" s="1"/>
  <c r="C11" i="1"/>
  <c r="E11" i="1"/>
  <c r="C10" i="1"/>
  <c r="E10" i="1" s="1"/>
  <c r="E9" i="1"/>
  <c r="E8" i="1"/>
  <c r="C7" i="1"/>
  <c r="E7" i="1"/>
  <c r="E6" i="1"/>
  <c r="C5" i="1"/>
  <c r="E5" i="1" s="1"/>
  <c r="C4" i="1"/>
  <c r="E4" i="1" s="1"/>
  <c r="C3" i="1"/>
  <c r="E3" i="1" s="1"/>
  <c r="E2" i="1"/>
  <c r="A3" i="1" s="1"/>
  <c r="B15" i="1" l="1"/>
  <c r="B16" i="1" s="1"/>
  <c r="A22" i="1"/>
  <c r="A23" i="1" s="1"/>
  <c r="A36" i="1"/>
  <c r="A52" i="1"/>
  <c r="B19" i="1"/>
  <c r="B51" i="1"/>
  <c r="B52" i="1" s="1"/>
  <c r="B39" i="1"/>
  <c r="A40" i="1" s="1"/>
  <c r="B35" i="1"/>
  <c r="B36" i="1" s="1"/>
  <c r="B29" i="1"/>
  <c r="A30" i="1" s="1"/>
  <c r="B27" i="1"/>
  <c r="B23" i="1"/>
  <c r="A24" i="1" s="1"/>
  <c r="B21" i="1"/>
  <c r="B14" i="1"/>
  <c r="B3" i="1"/>
  <c r="A4" i="1" s="1"/>
  <c r="B4" i="1"/>
  <c r="B5" i="1" s="1"/>
  <c r="B6" i="1" s="1"/>
  <c r="B37" i="1" l="1"/>
  <c r="A37" i="1"/>
  <c r="B53" i="1"/>
  <c r="A53" i="1"/>
  <c r="B24" i="1"/>
  <c r="B30" i="1"/>
  <c r="B40" i="1"/>
  <c r="B7" i="1"/>
  <c r="B8" i="1" s="1"/>
  <c r="A5" i="1"/>
  <c r="A6" i="1" s="1"/>
  <c r="A7" i="1" s="1"/>
  <c r="B9" i="1" l="1"/>
  <c r="A9" i="1"/>
  <c r="A41" i="1"/>
  <c r="B41" i="1"/>
  <c r="A31" i="1"/>
  <c r="B31" i="1"/>
  <c r="A25" i="1"/>
  <c r="B25" i="1"/>
  <c r="A26" i="1" s="1"/>
  <c r="A27" i="1" s="1"/>
  <c r="A54" i="1"/>
  <c r="B54" i="1"/>
  <c r="A8" i="1"/>
  <c r="B32" i="1" l="1"/>
  <c r="A32" i="1"/>
  <c r="B42" i="1"/>
  <c r="A42" i="1"/>
  <c r="B55" i="1"/>
  <c r="A55" i="1"/>
  <c r="A10" i="1"/>
  <c r="B10" i="1"/>
  <c r="A11" i="1" l="1"/>
  <c r="B11" i="1"/>
  <c r="A56" i="1"/>
  <c r="B56" i="1"/>
  <c r="B43" i="1"/>
  <c r="A43" i="1"/>
  <c r="A33" i="1"/>
  <c r="B33" i="1"/>
  <c r="A44" i="1" l="1"/>
  <c r="B44" i="1"/>
  <c r="B57" i="1"/>
  <c r="A57" i="1"/>
  <c r="A12" i="1"/>
  <c r="B12" i="1"/>
  <c r="A13" i="1" s="1"/>
  <c r="A14" i="1" s="1"/>
  <c r="A15" i="1" s="1"/>
  <c r="A16" i="1" s="1"/>
  <c r="B45" i="1" l="1"/>
  <c r="A45" i="1"/>
  <c r="B46" i="1" l="1"/>
  <c r="A46" i="1"/>
  <c r="B47" i="1" l="1"/>
  <c r="A47" i="1"/>
  <c r="A48" i="1" l="1"/>
  <c r="B48" i="1"/>
  <c r="A49" i="1" l="1"/>
  <c r="B49" i="1"/>
</calcChain>
</file>

<file path=xl/sharedStrings.xml><?xml version="1.0" encoding="utf-8"?>
<sst xmlns="http://schemas.openxmlformats.org/spreadsheetml/2006/main" count="207" uniqueCount="49">
  <si>
    <t>down</t>
  </si>
  <si>
    <t>ytg</t>
  </si>
  <si>
    <t>start ydl</t>
  </si>
  <si>
    <t>end ydl</t>
  </si>
  <si>
    <t>yard +/-</t>
  </si>
  <si>
    <t>formation</t>
  </si>
  <si>
    <t>run/pass</t>
  </si>
  <si>
    <t>play</t>
  </si>
  <si>
    <t>playmaker</t>
  </si>
  <si>
    <t>td</t>
  </si>
  <si>
    <t>run</t>
  </si>
  <si>
    <t>Double tight</t>
  </si>
  <si>
    <t>Dive</t>
  </si>
  <si>
    <t>pass</t>
  </si>
  <si>
    <t>Slant</t>
  </si>
  <si>
    <t>Trips Bunch R</t>
  </si>
  <si>
    <t>Doubles</t>
  </si>
  <si>
    <t>Curl</t>
  </si>
  <si>
    <t>Trips R</t>
  </si>
  <si>
    <t>Trips L</t>
  </si>
  <si>
    <t>Quick Screen Left</t>
  </si>
  <si>
    <t>Comeback</t>
  </si>
  <si>
    <t>Zone Read</t>
  </si>
  <si>
    <t>BSR WR</t>
  </si>
  <si>
    <t>Out</t>
  </si>
  <si>
    <t>BSL WL</t>
  </si>
  <si>
    <t>Pick Pass</t>
  </si>
  <si>
    <t>Punt</t>
  </si>
  <si>
    <t>BSL</t>
  </si>
  <si>
    <t>Stretch Left</t>
  </si>
  <si>
    <t>Trips Bunch L</t>
  </si>
  <si>
    <t>BSR WL</t>
  </si>
  <si>
    <t>Lead</t>
  </si>
  <si>
    <t>Trey L</t>
  </si>
  <si>
    <t>BSL WR</t>
  </si>
  <si>
    <t>Stretch Right</t>
  </si>
  <si>
    <t>BSR</t>
  </si>
  <si>
    <t>Toss Left</t>
  </si>
  <si>
    <t>Go</t>
  </si>
  <si>
    <t>Seam</t>
  </si>
  <si>
    <t>QB Run</t>
  </si>
  <si>
    <t>Row Labels</t>
  </si>
  <si>
    <t>Grand Total</t>
  </si>
  <si>
    <t>Sum of yard +/-2</t>
  </si>
  <si>
    <t>Count of yard +/-</t>
  </si>
  <si>
    <t>Average of yard +/-</t>
  </si>
  <si>
    <t>yes</t>
  </si>
  <si>
    <t>Count of run/pass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</si>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</sst>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19.93718414352" createdVersion="8" refreshedVersion="8" minRefreshableVersion="3" recordCount="57" xr:uid="{858CDE33-1209-4A1D-99B9-CF4809CE683A}">
  <cacheSource type="worksheet">
    <worksheetSource ref="A1:J1048576" sheet="Play By Play"/>
  </cacheSource>
  <cacheFields count="10">
    <cacheField name="down" numFmtId="0">
      <sharedItems containsString="0" containsBlank="1" containsNumber="1" containsInteger="1" minValue="1" maxValue="4"/>
    </cacheField>
    <cacheField name="ytg" numFmtId="0">
      <sharedItems containsString="0" containsBlank="1" containsNumber="1" containsInteger="1" minValue="1" maxValue="23"/>
    </cacheField>
    <cacheField name="start ydl" numFmtId="0">
      <sharedItems containsString="0" containsBlank="1" containsNumber="1" containsInteger="1" minValue="27" maxValue="98"/>
    </cacheField>
    <cacheField name="end ydl" numFmtId="0">
      <sharedItems containsString="0" containsBlank="1" containsNumber="1" containsInteger="1" minValue="27" maxValue="100"/>
    </cacheField>
    <cacheField name="yard +/-" numFmtId="0">
      <sharedItems containsString="0" containsBlank="1" containsNumber="1" containsInteger="1" minValue="-8" maxValue="52"/>
    </cacheField>
    <cacheField name="formation" numFmtId="0">
      <sharedItems containsBlank="1" count="14">
        <s v="Double tight"/>
        <s v="Trips Bunch R"/>
        <s v="Doubles"/>
        <s v="Trips R"/>
        <s v="Trips L"/>
        <s v="BSR WR"/>
        <s v="BSL WL"/>
        <s v="BSL"/>
        <m/>
        <s v="Trips Bunch L"/>
        <s v="BSR WL"/>
        <s v="Trey L"/>
        <s v="BSL WR"/>
        <s v="BSR"/>
      </sharedItems>
    </cacheField>
    <cacheField name="run/pass" numFmtId="0">
      <sharedItems containsBlank="1" count="3">
        <s v="run"/>
        <s v="pass"/>
        <m/>
      </sharedItems>
    </cacheField>
    <cacheField name="play" numFmtId="0">
      <sharedItems containsBlank="1"/>
    </cacheField>
    <cacheField name="playmaker" numFmtId="0">
      <sharedItems containsString="0" containsBlank="1" containsNumber="1" containsInteger="1" minValue="2" maxValue="77"/>
    </cacheField>
    <cacheField name="t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n v="1"/>
    <n v="10"/>
    <n v="49"/>
    <n v="48"/>
    <n v="-1"/>
    <x v="0"/>
    <x v="0"/>
    <s v="Dive"/>
    <n v="13"/>
    <x v="0"/>
  </r>
  <r>
    <n v="2"/>
    <n v="11"/>
    <n v="48"/>
    <n v="55"/>
    <n v="7"/>
    <x v="1"/>
    <x v="1"/>
    <s v="Slant"/>
    <n v="20"/>
    <x v="0"/>
  </r>
  <r>
    <n v="3"/>
    <n v="4"/>
    <n v="55"/>
    <n v="59"/>
    <n v="4"/>
    <x v="2"/>
    <x v="1"/>
    <s v="Curl"/>
    <m/>
    <x v="0"/>
  </r>
  <r>
    <n v="1"/>
    <n v="10"/>
    <n v="59"/>
    <n v="61"/>
    <n v="2"/>
    <x v="3"/>
    <x v="1"/>
    <s v="Seam"/>
    <n v="15"/>
    <x v="0"/>
  </r>
  <r>
    <n v="2"/>
    <n v="8"/>
    <n v="61"/>
    <n v="73"/>
    <n v="12"/>
    <x v="3"/>
    <x v="0"/>
    <s v="Dive"/>
    <n v="77"/>
    <x v="0"/>
  </r>
  <r>
    <n v="1"/>
    <n v="10"/>
    <n v="73"/>
    <n v="75"/>
    <n v="2"/>
    <x v="4"/>
    <x v="1"/>
    <s v="Quick Screen Left"/>
    <n v="2"/>
    <x v="0"/>
  </r>
  <r>
    <n v="2"/>
    <n v="8"/>
    <n v="75"/>
    <n v="100"/>
    <n v="25"/>
    <x v="2"/>
    <x v="1"/>
    <s v="Seam"/>
    <m/>
    <x v="1"/>
  </r>
  <r>
    <n v="1"/>
    <n v="10"/>
    <n v="27"/>
    <n v="27"/>
    <n v="0"/>
    <x v="3"/>
    <x v="1"/>
    <s v="Comeback"/>
    <m/>
    <x v="0"/>
  </r>
  <r>
    <n v="2"/>
    <n v="10"/>
    <n v="27"/>
    <n v="41"/>
    <n v="14"/>
    <x v="3"/>
    <x v="0"/>
    <s v="Zone Read"/>
    <n v="6"/>
    <x v="0"/>
  </r>
  <r>
    <n v="1"/>
    <n v="10"/>
    <n v="41"/>
    <n v="44"/>
    <n v="3"/>
    <x v="2"/>
    <x v="0"/>
    <s v="Zone Read"/>
    <n v="11"/>
    <x v="0"/>
  </r>
  <r>
    <n v="2"/>
    <n v="7"/>
    <n v="44"/>
    <n v="62"/>
    <n v="18"/>
    <x v="5"/>
    <x v="1"/>
    <s v="Out"/>
    <n v="15"/>
    <x v="0"/>
  </r>
  <r>
    <n v="1"/>
    <n v="15"/>
    <n v="53"/>
    <n v="53"/>
    <n v="0"/>
    <x v="6"/>
    <x v="0"/>
    <s v="Dive"/>
    <n v="20"/>
    <x v="0"/>
  </r>
  <r>
    <n v="2"/>
    <n v="15"/>
    <n v="53"/>
    <n v="53"/>
    <n v="0"/>
    <x v="7"/>
    <x v="1"/>
    <s v="Pick Pass"/>
    <m/>
    <x v="0"/>
  </r>
  <r>
    <n v="3"/>
    <n v="15"/>
    <n v="53"/>
    <n v="63"/>
    <n v="10"/>
    <x v="2"/>
    <x v="0"/>
    <s v="QB Run"/>
    <n v="21"/>
    <x v="0"/>
  </r>
  <r>
    <n v="4"/>
    <n v="5"/>
    <n v="63"/>
    <m/>
    <n v="0"/>
    <x v="8"/>
    <x v="2"/>
    <s v="Punt"/>
    <m/>
    <x v="0"/>
  </r>
  <r>
    <n v="1"/>
    <n v="10"/>
    <n v="49"/>
    <n v="67"/>
    <n v="18"/>
    <x v="4"/>
    <x v="0"/>
    <s v="Stretch Left"/>
    <n v="6"/>
    <x v="0"/>
  </r>
  <r>
    <n v="1"/>
    <n v="20"/>
    <n v="57"/>
    <n v="54"/>
    <n v="-3"/>
    <x v="9"/>
    <x v="1"/>
    <m/>
    <n v="50"/>
    <x v="0"/>
  </r>
  <r>
    <n v="2"/>
    <n v="23"/>
    <n v="54"/>
    <m/>
    <n v="0"/>
    <x v="10"/>
    <x v="0"/>
    <s v="Lead"/>
    <n v="20"/>
    <x v="0"/>
  </r>
  <r>
    <n v="1"/>
    <n v="10"/>
    <n v="54"/>
    <n v="65"/>
    <n v="11"/>
    <x v="11"/>
    <x v="1"/>
    <s v="Slant"/>
    <n v="6"/>
    <x v="0"/>
  </r>
  <r>
    <n v="1"/>
    <n v="10"/>
    <n v="65"/>
    <n v="82"/>
    <n v="17"/>
    <x v="2"/>
    <x v="0"/>
    <s v="QB Run"/>
    <n v="20"/>
    <x v="0"/>
  </r>
  <r>
    <n v="1"/>
    <n v="15"/>
    <n v="77"/>
    <n v="82"/>
    <n v="5"/>
    <x v="12"/>
    <x v="1"/>
    <s v="Curl"/>
    <n v="6"/>
    <x v="0"/>
  </r>
  <r>
    <n v="2"/>
    <n v="10"/>
    <n v="82"/>
    <n v="100"/>
    <n v="18"/>
    <x v="2"/>
    <x v="0"/>
    <s v="Stretch Right"/>
    <m/>
    <x v="1"/>
  </r>
  <r>
    <n v="1"/>
    <n v="10"/>
    <n v="55"/>
    <n v="55"/>
    <n v="0"/>
    <x v="2"/>
    <x v="1"/>
    <s v="Slant"/>
    <n v="15"/>
    <x v="0"/>
  </r>
  <r>
    <n v="2"/>
    <n v="10"/>
    <n v="55"/>
    <n v="47"/>
    <n v="-8"/>
    <x v="4"/>
    <x v="1"/>
    <m/>
    <n v="20"/>
    <x v="0"/>
  </r>
  <r>
    <n v="3"/>
    <n v="18"/>
    <n v="47"/>
    <n v="47"/>
    <n v="0"/>
    <x v="4"/>
    <x v="1"/>
    <m/>
    <n v="13"/>
    <x v="0"/>
  </r>
  <r>
    <n v="4"/>
    <n v="18"/>
    <n v="47"/>
    <m/>
    <n v="0"/>
    <x v="8"/>
    <x v="2"/>
    <s v="Punt"/>
    <m/>
    <x v="0"/>
  </r>
  <r>
    <n v="1"/>
    <n v="10"/>
    <n v="46"/>
    <n v="46"/>
    <n v="0"/>
    <x v="2"/>
    <x v="0"/>
    <s v="Lead"/>
    <n v="77"/>
    <x v="0"/>
  </r>
  <r>
    <n v="2"/>
    <n v="10"/>
    <n v="46"/>
    <n v="58"/>
    <n v="12"/>
    <x v="2"/>
    <x v="1"/>
    <s v="Curl"/>
    <n v="8"/>
    <x v="0"/>
  </r>
  <r>
    <n v="1"/>
    <n v="10"/>
    <n v="58"/>
    <n v="58"/>
    <n v="0"/>
    <x v="4"/>
    <x v="1"/>
    <m/>
    <m/>
    <x v="0"/>
  </r>
  <r>
    <n v="2"/>
    <n v="10"/>
    <n v="58"/>
    <n v="62"/>
    <n v="4"/>
    <x v="10"/>
    <x v="0"/>
    <s v="Lead"/>
    <n v="20"/>
    <x v="0"/>
  </r>
  <r>
    <n v="3"/>
    <n v="6"/>
    <n v="62"/>
    <n v="60"/>
    <n v="-2"/>
    <x v="12"/>
    <x v="0"/>
    <s v="Lead"/>
    <n v="75"/>
    <x v="0"/>
  </r>
  <r>
    <n v="4"/>
    <n v="8"/>
    <n v="60"/>
    <m/>
    <n v="0"/>
    <x v="7"/>
    <x v="1"/>
    <s v="Curl"/>
    <n v="4"/>
    <x v="0"/>
  </r>
  <r>
    <n v="1"/>
    <n v="10"/>
    <n v="31"/>
    <n v="35"/>
    <n v="4"/>
    <x v="13"/>
    <x v="0"/>
    <s v="Dive"/>
    <n v="13"/>
    <x v="0"/>
  </r>
  <r>
    <n v="2"/>
    <n v="6"/>
    <n v="35"/>
    <n v="40"/>
    <n v="5"/>
    <x v="13"/>
    <x v="0"/>
    <s v="Stretch Right"/>
    <n v="13"/>
    <x v="0"/>
  </r>
  <r>
    <n v="3"/>
    <n v="1"/>
    <n v="40"/>
    <n v="92"/>
    <n v="52"/>
    <x v="4"/>
    <x v="1"/>
    <s v="Quick Screen Left"/>
    <n v="15"/>
    <x v="0"/>
  </r>
  <r>
    <n v="1"/>
    <n v="10"/>
    <n v="92"/>
    <n v="100"/>
    <n v="8"/>
    <x v="12"/>
    <x v="0"/>
    <s v="Dive"/>
    <m/>
    <x v="1"/>
  </r>
  <r>
    <n v="1"/>
    <n v="10"/>
    <n v="74"/>
    <n v="80"/>
    <n v="6"/>
    <x v="1"/>
    <x v="0"/>
    <s v="Stretch Right"/>
    <n v="13"/>
    <x v="0"/>
  </r>
  <r>
    <n v="2"/>
    <n v="4"/>
    <n v="80"/>
    <n v="85"/>
    <n v="5"/>
    <x v="9"/>
    <x v="0"/>
    <s v="Toss Left"/>
    <m/>
    <x v="0"/>
  </r>
  <r>
    <n v="1"/>
    <n v="10"/>
    <n v="85"/>
    <n v="85"/>
    <n v="0"/>
    <x v="9"/>
    <x v="1"/>
    <m/>
    <m/>
    <x v="0"/>
  </r>
  <r>
    <n v="2"/>
    <n v="10"/>
    <n v="85"/>
    <n v="85"/>
    <n v="0"/>
    <x v="4"/>
    <x v="1"/>
    <s v="Seam"/>
    <m/>
    <x v="0"/>
  </r>
  <r>
    <n v="3"/>
    <n v="10"/>
    <n v="85"/>
    <n v="88"/>
    <n v="3"/>
    <x v="4"/>
    <x v="1"/>
    <s v="Quick Screen Left"/>
    <n v="11"/>
    <x v="0"/>
  </r>
  <r>
    <n v="4"/>
    <n v="7"/>
    <n v="88"/>
    <n v="100"/>
    <n v="12"/>
    <x v="0"/>
    <x v="1"/>
    <s v="Seam"/>
    <m/>
    <x v="1"/>
  </r>
  <r>
    <n v="1"/>
    <n v="10"/>
    <n v="71"/>
    <n v="71"/>
    <n v="0"/>
    <x v="5"/>
    <x v="1"/>
    <s v="Go"/>
    <m/>
    <x v="0"/>
  </r>
  <r>
    <n v="2"/>
    <n v="10"/>
    <n v="71"/>
    <n v="72"/>
    <n v="1"/>
    <x v="5"/>
    <x v="0"/>
    <s v="Dive"/>
    <n v="70"/>
    <x v="0"/>
  </r>
  <r>
    <n v="3"/>
    <n v="9"/>
    <n v="72"/>
    <n v="74"/>
    <n v="2"/>
    <x v="10"/>
    <x v="0"/>
    <s v="Lead"/>
    <m/>
    <x v="0"/>
  </r>
  <r>
    <n v="4"/>
    <n v="7"/>
    <n v="74"/>
    <n v="88"/>
    <n v="14"/>
    <x v="5"/>
    <x v="0"/>
    <s v="Zone Read"/>
    <m/>
    <x v="0"/>
  </r>
  <r>
    <n v="1"/>
    <n v="10"/>
    <n v="88"/>
    <n v="98"/>
    <n v="10"/>
    <x v="4"/>
    <x v="1"/>
    <s v="Pick Pass"/>
    <n v="15"/>
    <x v="0"/>
  </r>
  <r>
    <n v="1"/>
    <n v="10"/>
    <n v="98"/>
    <n v="100"/>
    <n v="2"/>
    <x v="7"/>
    <x v="0"/>
    <s v="Dive"/>
    <m/>
    <x v="1"/>
  </r>
  <r>
    <n v="1"/>
    <n v="10"/>
    <n v="56"/>
    <n v="85"/>
    <n v="29"/>
    <x v="2"/>
    <x v="0"/>
    <s v="Lead"/>
    <n v="11"/>
    <x v="0"/>
  </r>
  <r>
    <n v="1"/>
    <n v="10"/>
    <n v="85"/>
    <n v="85"/>
    <n v="0"/>
    <x v="2"/>
    <x v="1"/>
    <s v="Go"/>
    <n v="6"/>
    <x v="0"/>
  </r>
  <r>
    <n v="2"/>
    <n v="10"/>
    <n v="85"/>
    <n v="95"/>
    <n v="10"/>
    <x v="4"/>
    <x v="0"/>
    <s v="Stretch Left"/>
    <n v="20"/>
    <x v="0"/>
  </r>
  <r>
    <n v="1"/>
    <n v="10"/>
    <n v="90"/>
    <n v="100"/>
    <n v="10"/>
    <x v="7"/>
    <x v="0"/>
    <s v="Lead"/>
    <m/>
    <x v="1"/>
  </r>
  <r>
    <n v="1"/>
    <n v="10"/>
    <n v="35"/>
    <n v="50"/>
    <n v="15"/>
    <x v="5"/>
    <x v="0"/>
    <s v="Lead"/>
    <m/>
    <x v="0"/>
  </r>
  <r>
    <n v="1"/>
    <n v="10"/>
    <n v="50"/>
    <n v="90"/>
    <n v="40"/>
    <x v="5"/>
    <x v="0"/>
    <s v="Lead"/>
    <n v="21"/>
    <x v="0"/>
  </r>
  <r>
    <n v="1"/>
    <n v="10"/>
    <n v="90"/>
    <n v="98"/>
    <n v="8"/>
    <x v="5"/>
    <x v="0"/>
    <s v="Lead"/>
    <n v="21"/>
    <x v="0"/>
  </r>
  <r>
    <n v="2"/>
    <n v="2"/>
    <n v="98"/>
    <n v="100"/>
    <n v="2"/>
    <x v="10"/>
    <x v="0"/>
    <s v="Lead"/>
    <m/>
    <x v="1"/>
  </r>
  <r>
    <m/>
    <m/>
    <m/>
    <m/>
    <m/>
    <x v="8"/>
    <x v="2"/>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1D7BA-65AB-4B6B-87F6-071E22D5C9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0">
    <pivotField showAll="0"/>
    <pivotField showAll="0"/>
    <pivotField showAll="0"/>
    <pivotField showAll="0"/>
    <pivotField dataField="1" showAll="0"/>
    <pivotField showAll="0"/>
    <pivotField axis="axisRow" showAll="0">
      <items count="4">
        <item x="1"/>
        <item x="0"/>
        <item h="1" x="2"/>
        <item t="default"/>
      </items>
    </pivotField>
    <pivotField showAll="0"/>
    <pivotField showAll="0"/>
    <pivotField showAll="0"/>
  </pivotFields>
  <rowFields count="1">
    <field x="6"/>
  </rowFields>
  <rowItems count="3">
    <i>
      <x/>
    </i>
    <i>
      <x v="1"/>
    </i>
    <i t="grand">
      <x/>
    </i>
  </rowItems>
  <colFields count="1">
    <field x="-2"/>
  </colFields>
  <colItems count="3">
    <i>
      <x/>
    </i>
    <i i="1">
      <x v="1"/>
    </i>
    <i i="2">
      <x v="2"/>
    </i>
  </colItems>
  <dataFields count="3">
    <dataField name="Count of yard +/-" fld="4" subtotal="count" baseField="6" baseItem="0"/>
    <dataField name="Sum of yard +/-2" fld="4" baseField="0" baseItem="0"/>
    <dataField name="Average of yard +/-" fld="4"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D9CB2-A447-4023-8115-F8B5C55CD9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7" firstHeaderRow="0" firstDataRow="1" firstDataCol="1"/>
  <pivotFields count="10">
    <pivotField showAll="0"/>
    <pivotField showAll="0"/>
    <pivotField showAll="0"/>
    <pivotField showAll="0"/>
    <pivotField dataField="1" showAll="0"/>
    <pivotField axis="axisRow" showAll="0">
      <items count="15">
        <item x="7"/>
        <item x="6"/>
        <item x="12"/>
        <item x="13"/>
        <item x="10"/>
        <item x="5"/>
        <item x="0"/>
        <item x="2"/>
        <item x="11"/>
        <item x="9"/>
        <item x="1"/>
        <item x="4"/>
        <item x="3"/>
        <item h="1" x="8"/>
        <item t="default"/>
      </items>
    </pivotField>
    <pivotField showAll="0"/>
    <pivotField showAll="0"/>
    <pivotField showAll="0"/>
    <pivotField showAll="0"/>
  </pivotFields>
  <rowFields count="1">
    <field x="5"/>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Count of yard +/-" fld="4" subtotal="count" baseField="5" baseItem="9"/>
    <dataField name="Sum of yard +/-2" fld="4" baseField="0" baseItem="0"/>
    <dataField name="Average of yard +/-" fld="4" subtotal="average" baseField="5"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6EB0A-FC4C-4B22-BF8A-3FD6DA14D1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0">
    <pivotField showAll="0"/>
    <pivotField showAll="0"/>
    <pivotField showAll="0"/>
    <pivotField showAll="0"/>
    <pivotField showAll="0"/>
    <pivotField axis="axisRow" showAll="0">
      <items count="15">
        <item x="7"/>
        <item x="6"/>
        <item x="12"/>
        <item x="13"/>
        <item x="10"/>
        <item x="5"/>
        <item x="0"/>
        <item x="2"/>
        <item x="11"/>
        <item x="9"/>
        <item x="1"/>
        <item x="4"/>
        <item x="3"/>
        <item x="8"/>
        <item t="default"/>
      </items>
    </pivotField>
    <pivotField axis="axisCol" dataField="1" showAll="0">
      <items count="4">
        <item x="1"/>
        <item x="0"/>
        <item h="1" x="2"/>
        <item t="default"/>
      </items>
    </pivotField>
    <pivotField showAll="0"/>
    <pivotField showAll="0"/>
    <pivotField axis="axisRow" showAll="0">
      <items count="4">
        <item h="1" x="0"/>
        <item x="1"/>
        <item h="1" x="2"/>
        <item t="default"/>
      </items>
    </pivotField>
  </pivotFields>
  <rowFields count="2">
    <field x="9"/>
    <field x="5"/>
  </rowFields>
  <rowItems count="7">
    <i>
      <x v="1"/>
    </i>
    <i r="1">
      <x/>
    </i>
    <i r="1">
      <x v="2"/>
    </i>
    <i r="1">
      <x v="4"/>
    </i>
    <i r="1">
      <x v="6"/>
    </i>
    <i r="1">
      <x v="7"/>
    </i>
    <i t="grand">
      <x/>
    </i>
  </rowItems>
  <colFields count="1">
    <field x="6"/>
  </colFields>
  <colItems count="3">
    <i>
      <x/>
    </i>
    <i>
      <x v="1"/>
    </i>
    <i t="grand">
      <x/>
    </i>
  </colItems>
  <dataFields count="1">
    <dataField name="Count of run/pas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694BC-D8F8-49B1-8E46-99BA210C3561}" name="Table2" displayName="Table2" ref="A1:J57" totalsRowShown="0">
  <autoFilter ref="A1:J57" xr:uid="{40C694BC-D8F8-49B1-8E46-99BA210C3561}"/>
  <tableColumns count="10">
    <tableColumn id="1" xr3:uid="{6C0F549F-C04D-470B-A7B7-F6D667EE1EFA}" name="down">
      <calculatedColumnFormula>IF(E1&gt;=B1, 1, A1+1)</calculatedColumnFormula>
    </tableColumn>
    <tableColumn id="2" xr3:uid="{3A4A94F7-6CE9-48CA-9646-2BD13B4A8B25}" name="ytg">
      <calculatedColumnFormula>IF(E1&gt;=B1, 10, B1-E1)</calculatedColumnFormula>
    </tableColumn>
    <tableColumn id="3" xr3:uid="{99FCF4D3-51D7-4EEA-8C89-6DEE4557AF08}" name="start ydl">
      <calculatedColumnFormula>D1</calculatedColumnFormula>
    </tableColumn>
    <tableColumn id="4" xr3:uid="{A993AEEF-BA86-42F6-9811-6C83D33A08BE}" name="end ydl"/>
    <tableColumn id="5" xr3:uid="{CAEBE34B-8630-4642-BE06-43D9A55944B0}" name="yard +/-">
      <calculatedColumnFormula>D2-C2</calculatedColumnFormula>
    </tableColumn>
    <tableColumn id="6" xr3:uid="{02FF5B50-798E-449A-B0ED-51892F1EAF30}" name="formation"/>
    <tableColumn id="7" xr3:uid="{B299213D-D36E-45F3-849E-D27028589A1A}" name="run/pass"/>
    <tableColumn id="8" xr3:uid="{8DA10D1D-0D3E-4639-AA7E-8ECD43547EC6}" name="play"/>
    <tableColumn id="9" xr3:uid="{EF8B98C7-4BB1-44D8-BF38-05F8981DC72F}" name="playmaker"/>
    <tableColumn id="10" xr3:uid="{1645A98E-F5E6-4CDB-8C90-DF162EB028D3}" name="td" dataDxfId="0">
      <calculatedColumnFormula>IF(D2=100, "yes", "no")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7BEA-2300-464B-BF88-388FEE71297E}">
  <dimension ref="A1:J57"/>
  <sheetViews>
    <sheetView tabSelected="1" workbookViewId="0">
      <selection activeCell="H1" sqref="H1:H1048576"/>
    </sheetView>
  </sheetViews>
  <sheetFormatPr defaultRowHeight="15" x14ac:dyDescent="0.25"/>
  <cols>
    <col min="1" max="1" width="12.7109375" customWidth="1"/>
    <col min="2" max="2" width="12.5703125" customWidth="1"/>
    <col min="3" max="3" width="13.140625" customWidth="1"/>
    <col min="4" max="4" width="12.7109375" customWidth="1"/>
    <col min="5" max="5" width="13.140625" customWidth="1"/>
    <col min="6" max="6" width="19" customWidth="1"/>
    <col min="7" max="7" width="14.140625" customWidth="1"/>
    <col min="8" max="8" width="13" customWidth="1"/>
    <col min="9" max="9" width="14" customWidth="1"/>
    <col min="10" max="10" width="14.140625" customWidth="1"/>
  </cols>
  <sheetData>
    <row r="1" spans="1:10" x14ac:dyDescent="0.25">
      <c r="A1" t="s">
        <v>0</v>
      </c>
      <c r="B1" t="s">
        <v>1</v>
      </c>
      <c r="C1" t="s">
        <v>2</v>
      </c>
      <c r="D1" t="s">
        <v>3</v>
      </c>
      <c r="E1" t="s">
        <v>4</v>
      </c>
      <c r="F1" t="s">
        <v>5</v>
      </c>
      <c r="G1" t="s">
        <v>6</v>
      </c>
      <c r="H1" t="s">
        <v>7</v>
      </c>
      <c r="I1" t="s">
        <v>8</v>
      </c>
      <c r="J1" t="s">
        <v>9</v>
      </c>
    </row>
    <row r="2" spans="1:10" x14ac:dyDescent="0.25">
      <c r="A2">
        <v>1</v>
      </c>
      <c r="B2">
        <v>10</v>
      </c>
      <c r="C2">
        <v>49</v>
      </c>
      <c r="D2">
        <v>48</v>
      </c>
      <c r="E2">
        <f t="shared" ref="E2:E15" si="0">D2-C2</f>
        <v>-1</v>
      </c>
      <c r="F2" t="s">
        <v>11</v>
      </c>
      <c r="G2" t="s">
        <v>10</v>
      </c>
      <c r="H2" t="s">
        <v>12</v>
      </c>
      <c r="I2">
        <v>13</v>
      </c>
      <c r="J2" t="str">
        <f>IF(D2=100, "yes", "no")</f>
        <v>no</v>
      </c>
    </row>
    <row r="3" spans="1:10" x14ac:dyDescent="0.25">
      <c r="A3">
        <f t="shared" ref="A3:A16" si="1">IF(E2&gt;=B2, 1, A2+1)</f>
        <v>2</v>
      </c>
      <c r="B3">
        <f t="shared" ref="B3:B12" si="2">IF(E2&gt;=B2, 10, B2-E2)</f>
        <v>11</v>
      </c>
      <c r="C3">
        <f>D2</f>
        <v>48</v>
      </c>
      <c r="D3">
        <v>55</v>
      </c>
      <c r="E3">
        <f t="shared" si="0"/>
        <v>7</v>
      </c>
      <c r="F3" t="s">
        <v>15</v>
      </c>
      <c r="G3" t="s">
        <v>13</v>
      </c>
      <c r="H3" t="s">
        <v>14</v>
      </c>
      <c r="I3">
        <v>20</v>
      </c>
      <c r="J3" t="str">
        <f t="shared" ref="J3:J17" si="3">IF(D3=100, "yes", "no")</f>
        <v>no</v>
      </c>
    </row>
    <row r="4" spans="1:10" x14ac:dyDescent="0.25">
      <c r="A4">
        <f t="shared" si="1"/>
        <v>3</v>
      </c>
      <c r="B4">
        <f t="shared" si="2"/>
        <v>4</v>
      </c>
      <c r="C4">
        <f>D3</f>
        <v>55</v>
      </c>
      <c r="D4">
        <v>59</v>
      </c>
      <c r="E4">
        <f t="shared" si="0"/>
        <v>4</v>
      </c>
      <c r="F4" t="s">
        <v>16</v>
      </c>
      <c r="G4" t="s">
        <v>13</v>
      </c>
      <c r="H4" t="s">
        <v>17</v>
      </c>
      <c r="J4" t="str">
        <f t="shared" si="3"/>
        <v>no</v>
      </c>
    </row>
    <row r="5" spans="1:10" x14ac:dyDescent="0.25">
      <c r="A5">
        <f t="shared" si="1"/>
        <v>1</v>
      </c>
      <c r="B5">
        <f t="shared" si="2"/>
        <v>10</v>
      </c>
      <c r="C5">
        <f>D4</f>
        <v>59</v>
      </c>
      <c r="D5">
        <v>61</v>
      </c>
      <c r="E5">
        <f t="shared" si="0"/>
        <v>2</v>
      </c>
      <c r="F5" t="s">
        <v>18</v>
      </c>
      <c r="G5" t="s">
        <v>13</v>
      </c>
      <c r="H5" t="s">
        <v>39</v>
      </c>
      <c r="I5">
        <v>15</v>
      </c>
      <c r="J5" t="str">
        <f t="shared" si="3"/>
        <v>no</v>
      </c>
    </row>
    <row r="6" spans="1:10" x14ac:dyDescent="0.25">
      <c r="A6">
        <f t="shared" si="1"/>
        <v>2</v>
      </c>
      <c r="B6">
        <f t="shared" si="2"/>
        <v>8</v>
      </c>
      <c r="C6">
        <v>61</v>
      </c>
      <c r="D6">
        <v>73</v>
      </c>
      <c r="E6">
        <f t="shared" si="0"/>
        <v>12</v>
      </c>
      <c r="F6" t="s">
        <v>18</v>
      </c>
      <c r="G6" t="s">
        <v>10</v>
      </c>
      <c r="H6" t="s">
        <v>12</v>
      </c>
      <c r="I6">
        <v>77</v>
      </c>
      <c r="J6" t="str">
        <f t="shared" si="3"/>
        <v>no</v>
      </c>
    </row>
    <row r="7" spans="1:10" x14ac:dyDescent="0.25">
      <c r="A7">
        <f t="shared" si="1"/>
        <v>1</v>
      </c>
      <c r="B7">
        <f t="shared" si="2"/>
        <v>10</v>
      </c>
      <c r="C7">
        <f>D6</f>
        <v>73</v>
      </c>
      <c r="D7">
        <v>75</v>
      </c>
      <c r="E7">
        <f t="shared" si="0"/>
        <v>2</v>
      </c>
      <c r="F7" t="s">
        <v>19</v>
      </c>
      <c r="G7" t="s">
        <v>13</v>
      </c>
      <c r="H7" t="s">
        <v>20</v>
      </c>
      <c r="I7">
        <v>2</v>
      </c>
      <c r="J7" t="str">
        <f t="shared" si="3"/>
        <v>no</v>
      </c>
    </row>
    <row r="8" spans="1:10" x14ac:dyDescent="0.25">
      <c r="A8">
        <f t="shared" si="1"/>
        <v>2</v>
      </c>
      <c r="B8">
        <f t="shared" si="2"/>
        <v>8</v>
      </c>
      <c r="C8">
        <v>75</v>
      </c>
      <c r="D8">
        <v>100</v>
      </c>
      <c r="E8">
        <f t="shared" si="0"/>
        <v>25</v>
      </c>
      <c r="F8" t="s">
        <v>16</v>
      </c>
      <c r="G8" t="s">
        <v>13</v>
      </c>
      <c r="H8" t="s">
        <v>39</v>
      </c>
      <c r="J8" t="str">
        <f t="shared" si="3"/>
        <v>yes</v>
      </c>
    </row>
    <row r="9" spans="1:10" x14ac:dyDescent="0.25">
      <c r="A9">
        <f t="shared" si="1"/>
        <v>1</v>
      </c>
      <c r="B9">
        <f t="shared" si="2"/>
        <v>10</v>
      </c>
      <c r="C9">
        <v>27</v>
      </c>
      <c r="D9">
        <v>27</v>
      </c>
      <c r="E9">
        <f t="shared" si="0"/>
        <v>0</v>
      </c>
      <c r="F9" t="s">
        <v>18</v>
      </c>
      <c r="G9" t="s">
        <v>13</v>
      </c>
      <c r="H9" t="s">
        <v>21</v>
      </c>
      <c r="J9" t="str">
        <f t="shared" si="3"/>
        <v>no</v>
      </c>
    </row>
    <row r="10" spans="1:10" x14ac:dyDescent="0.25">
      <c r="A10">
        <f t="shared" si="1"/>
        <v>2</v>
      </c>
      <c r="B10">
        <f t="shared" si="2"/>
        <v>10</v>
      </c>
      <c r="C10">
        <f>D9</f>
        <v>27</v>
      </c>
      <c r="D10">
        <v>41</v>
      </c>
      <c r="E10">
        <f t="shared" si="0"/>
        <v>14</v>
      </c>
      <c r="F10" t="s">
        <v>18</v>
      </c>
      <c r="G10" t="s">
        <v>10</v>
      </c>
      <c r="H10" t="s">
        <v>22</v>
      </c>
      <c r="I10">
        <v>6</v>
      </c>
      <c r="J10" t="str">
        <f t="shared" si="3"/>
        <v>no</v>
      </c>
    </row>
    <row r="11" spans="1:10" x14ac:dyDescent="0.25">
      <c r="A11">
        <f t="shared" si="1"/>
        <v>1</v>
      </c>
      <c r="B11">
        <f t="shared" si="2"/>
        <v>10</v>
      </c>
      <c r="C11">
        <f>D10</f>
        <v>41</v>
      </c>
      <c r="D11">
        <v>44</v>
      </c>
      <c r="E11">
        <f t="shared" si="0"/>
        <v>3</v>
      </c>
      <c r="F11" t="s">
        <v>16</v>
      </c>
      <c r="G11" t="s">
        <v>10</v>
      </c>
      <c r="H11" t="s">
        <v>22</v>
      </c>
      <c r="I11">
        <v>11</v>
      </c>
      <c r="J11" t="str">
        <f t="shared" si="3"/>
        <v>no</v>
      </c>
    </row>
    <row r="12" spans="1:10" x14ac:dyDescent="0.25">
      <c r="A12">
        <f t="shared" si="1"/>
        <v>2</v>
      </c>
      <c r="B12">
        <f t="shared" si="2"/>
        <v>7</v>
      </c>
      <c r="C12">
        <f>D11</f>
        <v>44</v>
      </c>
      <c r="D12">
        <v>62</v>
      </c>
      <c r="E12">
        <f t="shared" si="0"/>
        <v>18</v>
      </c>
      <c r="F12" t="s">
        <v>23</v>
      </c>
      <c r="G12" t="s">
        <v>13</v>
      </c>
      <c r="H12" t="s">
        <v>24</v>
      </c>
      <c r="I12">
        <v>15</v>
      </c>
      <c r="J12" t="str">
        <f t="shared" si="3"/>
        <v>no</v>
      </c>
    </row>
    <row r="13" spans="1:10" x14ac:dyDescent="0.25">
      <c r="A13">
        <f t="shared" si="1"/>
        <v>1</v>
      </c>
      <c r="B13">
        <v>15</v>
      </c>
      <c r="C13">
        <v>53</v>
      </c>
      <c r="D13">
        <v>53</v>
      </c>
      <c r="E13">
        <f t="shared" si="0"/>
        <v>0</v>
      </c>
      <c r="F13" t="s">
        <v>25</v>
      </c>
      <c r="G13" t="s">
        <v>10</v>
      </c>
      <c r="H13" t="s">
        <v>12</v>
      </c>
      <c r="I13">
        <v>20</v>
      </c>
      <c r="J13" t="str">
        <f t="shared" si="3"/>
        <v>no</v>
      </c>
    </row>
    <row r="14" spans="1:10" x14ac:dyDescent="0.25">
      <c r="A14">
        <f t="shared" si="1"/>
        <v>2</v>
      </c>
      <c r="B14">
        <f>IF(E13&gt;=B13, 10, B13-E13)</f>
        <v>15</v>
      </c>
      <c r="C14">
        <f>D13</f>
        <v>53</v>
      </c>
      <c r="D14">
        <v>53</v>
      </c>
      <c r="E14">
        <f t="shared" si="0"/>
        <v>0</v>
      </c>
      <c r="F14" t="s">
        <v>28</v>
      </c>
      <c r="G14" t="s">
        <v>13</v>
      </c>
      <c r="H14" t="s">
        <v>26</v>
      </c>
      <c r="J14" t="str">
        <f t="shared" si="3"/>
        <v>no</v>
      </c>
    </row>
    <row r="15" spans="1:10" x14ac:dyDescent="0.25">
      <c r="A15">
        <f t="shared" si="1"/>
        <v>3</v>
      </c>
      <c r="B15">
        <f>IF(E14&gt;=B14, 10, B14-E14)</f>
        <v>15</v>
      </c>
      <c r="C15">
        <f>D14</f>
        <v>53</v>
      </c>
      <c r="D15">
        <v>63</v>
      </c>
      <c r="E15">
        <f t="shared" si="0"/>
        <v>10</v>
      </c>
      <c r="F15" t="s">
        <v>16</v>
      </c>
      <c r="G15" t="s">
        <v>10</v>
      </c>
      <c r="H15" t="s">
        <v>40</v>
      </c>
      <c r="I15">
        <v>21</v>
      </c>
      <c r="J15" t="str">
        <f t="shared" si="3"/>
        <v>no</v>
      </c>
    </row>
    <row r="16" spans="1:10" x14ac:dyDescent="0.25">
      <c r="A16">
        <f t="shared" si="1"/>
        <v>4</v>
      </c>
      <c r="B16">
        <f>IF(E15&gt;=B15, 10, B15-E15)</f>
        <v>5</v>
      </c>
      <c r="C16">
        <f>D15</f>
        <v>63</v>
      </c>
      <c r="E16">
        <v>0</v>
      </c>
      <c r="H16" t="s">
        <v>27</v>
      </c>
      <c r="J16" t="str">
        <f t="shared" si="3"/>
        <v>no</v>
      </c>
    </row>
    <row r="17" spans="1:10" x14ac:dyDescent="0.25">
      <c r="A17">
        <v>1</v>
      </c>
      <c r="B17">
        <v>10</v>
      </c>
      <c r="C17">
        <v>49</v>
      </c>
      <c r="D17">
        <v>67</v>
      </c>
      <c r="E17">
        <f>D17-C17</f>
        <v>18</v>
      </c>
      <c r="F17" t="s">
        <v>19</v>
      </c>
      <c r="G17" t="s">
        <v>10</v>
      </c>
      <c r="H17" t="s">
        <v>29</v>
      </c>
      <c r="I17">
        <v>6</v>
      </c>
      <c r="J17" t="str">
        <f t="shared" si="3"/>
        <v>no</v>
      </c>
    </row>
    <row r="18" spans="1:10" x14ac:dyDescent="0.25">
      <c r="A18">
        <f>IF(E17&gt;=B17, 1, A17+1)</f>
        <v>1</v>
      </c>
      <c r="B18">
        <v>20</v>
      </c>
      <c r="C18">
        <v>57</v>
      </c>
      <c r="D18">
        <v>54</v>
      </c>
      <c r="E18">
        <f>D18-C18</f>
        <v>-3</v>
      </c>
      <c r="F18" t="s">
        <v>30</v>
      </c>
      <c r="G18" t="s">
        <v>13</v>
      </c>
      <c r="I18">
        <v>50</v>
      </c>
      <c r="J18" s="1" t="str">
        <f t="shared" ref="J18:J57" si="4">IF(D18=100, "yes", "no")</f>
        <v>no</v>
      </c>
    </row>
    <row r="19" spans="1:10" x14ac:dyDescent="0.25">
      <c r="A19">
        <f>IF(E18&gt;=B18, 1, A18+1)</f>
        <v>2</v>
      </c>
      <c r="B19">
        <f>IF(E18&gt;=B18, 10, B18-E18)</f>
        <v>23</v>
      </c>
      <c r="C19">
        <f>D18</f>
        <v>54</v>
      </c>
      <c r="E19">
        <v>0</v>
      </c>
      <c r="F19" t="s">
        <v>31</v>
      </c>
      <c r="G19" t="s">
        <v>10</v>
      </c>
      <c r="H19" t="s">
        <v>32</v>
      </c>
      <c r="I19">
        <v>20</v>
      </c>
      <c r="J19" s="1" t="str">
        <f t="shared" si="4"/>
        <v>no</v>
      </c>
    </row>
    <row r="20" spans="1:10" x14ac:dyDescent="0.25">
      <c r="A20">
        <v>1</v>
      </c>
      <c r="B20">
        <v>10</v>
      </c>
      <c r="C20">
        <v>54</v>
      </c>
      <c r="D20">
        <v>65</v>
      </c>
      <c r="E20">
        <f t="shared" ref="E20:E26" si="5">D20-C20</f>
        <v>11</v>
      </c>
      <c r="F20" t="s">
        <v>33</v>
      </c>
      <c r="G20" t="s">
        <v>13</v>
      </c>
      <c r="H20" t="s">
        <v>14</v>
      </c>
      <c r="I20">
        <v>6</v>
      </c>
      <c r="J20" s="1" t="str">
        <f t="shared" si="4"/>
        <v>no</v>
      </c>
    </row>
    <row r="21" spans="1:10" x14ac:dyDescent="0.25">
      <c r="A21">
        <f t="shared" ref="A21:A27" si="6">IF(E20&gt;=B20, 1, A20+1)</f>
        <v>1</v>
      </c>
      <c r="B21">
        <f>IF(E20&gt;=B20, 10, B20-E20)</f>
        <v>10</v>
      </c>
      <c r="C21">
        <f>D20</f>
        <v>65</v>
      </c>
      <c r="D21">
        <v>82</v>
      </c>
      <c r="E21">
        <f t="shared" si="5"/>
        <v>17</v>
      </c>
      <c r="F21" t="s">
        <v>16</v>
      </c>
      <c r="G21" t="s">
        <v>10</v>
      </c>
      <c r="H21" t="s">
        <v>40</v>
      </c>
      <c r="I21">
        <v>20</v>
      </c>
      <c r="J21" s="1" t="str">
        <f t="shared" si="4"/>
        <v>no</v>
      </c>
    </row>
    <row r="22" spans="1:10" x14ac:dyDescent="0.25">
      <c r="A22">
        <f t="shared" si="6"/>
        <v>1</v>
      </c>
      <c r="B22">
        <v>15</v>
      </c>
      <c r="C22">
        <v>77</v>
      </c>
      <c r="D22">
        <v>82</v>
      </c>
      <c r="E22">
        <f t="shared" si="5"/>
        <v>5</v>
      </c>
      <c r="F22" t="s">
        <v>34</v>
      </c>
      <c r="G22" t="s">
        <v>13</v>
      </c>
      <c r="H22" t="s">
        <v>17</v>
      </c>
      <c r="I22">
        <v>6</v>
      </c>
      <c r="J22" s="1" t="str">
        <f t="shared" si="4"/>
        <v>no</v>
      </c>
    </row>
    <row r="23" spans="1:10" x14ac:dyDescent="0.25">
      <c r="A23">
        <f t="shared" si="6"/>
        <v>2</v>
      </c>
      <c r="B23">
        <f>IF(E22&gt;=B22, 10, B22-E22)</f>
        <v>10</v>
      </c>
      <c r="C23">
        <f>D22</f>
        <v>82</v>
      </c>
      <c r="D23">
        <v>100</v>
      </c>
      <c r="E23">
        <f t="shared" si="5"/>
        <v>18</v>
      </c>
      <c r="F23" t="s">
        <v>16</v>
      </c>
      <c r="G23" t="s">
        <v>10</v>
      </c>
      <c r="H23" t="s">
        <v>35</v>
      </c>
      <c r="J23" s="1" t="str">
        <f t="shared" si="4"/>
        <v>yes</v>
      </c>
    </row>
    <row r="24" spans="1:10" x14ac:dyDescent="0.25">
      <c r="A24">
        <f t="shared" si="6"/>
        <v>1</v>
      </c>
      <c r="B24">
        <f>IF(E23&gt;=B23, 10, B23-E23)</f>
        <v>10</v>
      </c>
      <c r="C24">
        <v>55</v>
      </c>
      <c r="D24">
        <v>55</v>
      </c>
      <c r="E24">
        <f t="shared" si="5"/>
        <v>0</v>
      </c>
      <c r="F24" t="s">
        <v>16</v>
      </c>
      <c r="G24" t="s">
        <v>13</v>
      </c>
      <c r="H24" t="s">
        <v>14</v>
      </c>
      <c r="I24">
        <v>15</v>
      </c>
      <c r="J24" s="1" t="str">
        <f t="shared" si="4"/>
        <v>no</v>
      </c>
    </row>
    <row r="25" spans="1:10" x14ac:dyDescent="0.25">
      <c r="A25">
        <f t="shared" si="6"/>
        <v>2</v>
      </c>
      <c r="B25">
        <f>IF(E24&gt;=B24, 10, B24-E24)</f>
        <v>10</v>
      </c>
      <c r="C25">
        <f>D24</f>
        <v>55</v>
      </c>
      <c r="D25">
        <v>47</v>
      </c>
      <c r="E25">
        <f t="shared" si="5"/>
        <v>-8</v>
      </c>
      <c r="F25" t="s">
        <v>19</v>
      </c>
      <c r="G25" t="s">
        <v>13</v>
      </c>
      <c r="I25">
        <v>20</v>
      </c>
      <c r="J25" s="1" t="str">
        <f t="shared" si="4"/>
        <v>no</v>
      </c>
    </row>
    <row r="26" spans="1:10" x14ac:dyDescent="0.25">
      <c r="A26">
        <f t="shared" si="6"/>
        <v>3</v>
      </c>
      <c r="B26">
        <v>18</v>
      </c>
      <c r="C26">
        <v>47</v>
      </c>
      <c r="D26">
        <v>47</v>
      </c>
      <c r="E26">
        <f t="shared" si="5"/>
        <v>0</v>
      </c>
      <c r="F26" t="s">
        <v>19</v>
      </c>
      <c r="G26" t="s">
        <v>13</v>
      </c>
      <c r="I26">
        <v>13</v>
      </c>
      <c r="J26" s="1" t="str">
        <f t="shared" si="4"/>
        <v>no</v>
      </c>
    </row>
    <row r="27" spans="1:10" x14ac:dyDescent="0.25">
      <c r="A27">
        <f t="shared" si="6"/>
        <v>4</v>
      </c>
      <c r="B27">
        <f>IF(E26&gt;=B26, 10, B26-E26)</f>
        <v>18</v>
      </c>
      <c r="C27">
        <f>D26</f>
        <v>47</v>
      </c>
      <c r="E27">
        <v>0</v>
      </c>
      <c r="H27" t="s">
        <v>27</v>
      </c>
      <c r="J27" s="1" t="str">
        <f t="shared" si="4"/>
        <v>no</v>
      </c>
    </row>
    <row r="28" spans="1:10" x14ac:dyDescent="0.25">
      <c r="A28">
        <v>1</v>
      </c>
      <c r="B28">
        <v>10</v>
      </c>
      <c r="C28">
        <v>46</v>
      </c>
      <c r="D28">
        <v>46</v>
      </c>
      <c r="E28">
        <f>D28-C28</f>
        <v>0</v>
      </c>
      <c r="F28" t="s">
        <v>16</v>
      </c>
      <c r="G28" t="s">
        <v>10</v>
      </c>
      <c r="H28" t="s">
        <v>32</v>
      </c>
      <c r="I28">
        <v>77</v>
      </c>
      <c r="J28" s="1" t="str">
        <f t="shared" si="4"/>
        <v>no</v>
      </c>
    </row>
    <row r="29" spans="1:10" x14ac:dyDescent="0.25">
      <c r="A29">
        <f>IF(E28&gt;=B28, 1, A28+1)</f>
        <v>2</v>
      </c>
      <c r="B29">
        <f>IF(E28&gt;=B28, 10, B28-E28)</f>
        <v>10</v>
      </c>
      <c r="C29">
        <f>D28</f>
        <v>46</v>
      </c>
      <c r="D29">
        <v>58</v>
      </c>
      <c r="E29">
        <f>D29-C29</f>
        <v>12</v>
      </c>
      <c r="F29" t="s">
        <v>16</v>
      </c>
      <c r="G29" t="s">
        <v>13</v>
      </c>
      <c r="H29" t="s">
        <v>17</v>
      </c>
      <c r="I29">
        <v>8</v>
      </c>
      <c r="J29" s="1" t="str">
        <f t="shared" si="4"/>
        <v>no</v>
      </c>
    </row>
    <row r="30" spans="1:10" x14ac:dyDescent="0.25">
      <c r="A30">
        <f>IF(E29&gt;=B29, 1, A29+1)</f>
        <v>1</v>
      </c>
      <c r="B30">
        <f>IF(E29&gt;=B29, 10, B29-E29)</f>
        <v>10</v>
      </c>
      <c r="C30">
        <f>D29</f>
        <v>58</v>
      </c>
      <c r="D30">
        <v>58</v>
      </c>
      <c r="E30">
        <f>D30-C30</f>
        <v>0</v>
      </c>
      <c r="F30" t="s">
        <v>19</v>
      </c>
      <c r="G30" t="s">
        <v>13</v>
      </c>
      <c r="J30" s="1" t="str">
        <f t="shared" si="4"/>
        <v>no</v>
      </c>
    </row>
    <row r="31" spans="1:10" x14ac:dyDescent="0.25">
      <c r="A31">
        <f>IF(E30&gt;=B30, 1, A30+1)</f>
        <v>2</v>
      </c>
      <c r="B31">
        <f>IF(E30&gt;=B30, 10, B30-E30)</f>
        <v>10</v>
      </c>
      <c r="C31">
        <f>D30</f>
        <v>58</v>
      </c>
      <c r="D31">
        <v>62</v>
      </c>
      <c r="E31">
        <f>D31-C31</f>
        <v>4</v>
      </c>
      <c r="F31" t="s">
        <v>31</v>
      </c>
      <c r="G31" t="s">
        <v>10</v>
      </c>
      <c r="H31" t="s">
        <v>32</v>
      </c>
      <c r="I31">
        <v>20</v>
      </c>
      <c r="J31" s="1" t="str">
        <f t="shared" si="4"/>
        <v>no</v>
      </c>
    </row>
    <row r="32" spans="1:10" x14ac:dyDescent="0.25">
      <c r="A32">
        <f>IF(E31&gt;=B31, 1, A31+1)</f>
        <v>3</v>
      </c>
      <c r="B32">
        <f>IF(E31&gt;=B31, 10, B31-E31)</f>
        <v>6</v>
      </c>
      <c r="C32">
        <f>D31</f>
        <v>62</v>
      </c>
      <c r="D32">
        <v>60</v>
      </c>
      <c r="E32">
        <f>D32-C32</f>
        <v>-2</v>
      </c>
      <c r="F32" t="s">
        <v>34</v>
      </c>
      <c r="G32" t="s">
        <v>10</v>
      </c>
      <c r="H32" t="s">
        <v>32</v>
      </c>
      <c r="I32">
        <v>75</v>
      </c>
      <c r="J32" s="1" t="str">
        <f t="shared" si="4"/>
        <v>no</v>
      </c>
    </row>
    <row r="33" spans="1:10" x14ac:dyDescent="0.25">
      <c r="A33">
        <f>IF(E32&gt;=B32, 1, A32+1)</f>
        <v>4</v>
      </c>
      <c r="B33">
        <f>IF(E32&gt;=B32, 10, B32-E32)</f>
        <v>8</v>
      </c>
      <c r="C33">
        <f>D32</f>
        <v>60</v>
      </c>
      <c r="E33">
        <v>0</v>
      </c>
      <c r="F33" t="s">
        <v>28</v>
      </c>
      <c r="G33" t="s">
        <v>13</v>
      </c>
      <c r="H33" t="s">
        <v>17</v>
      </c>
      <c r="I33">
        <v>4</v>
      </c>
      <c r="J33" s="1" t="str">
        <f t="shared" si="4"/>
        <v>no</v>
      </c>
    </row>
    <row r="34" spans="1:10" x14ac:dyDescent="0.25">
      <c r="A34">
        <v>1</v>
      </c>
      <c r="B34">
        <v>10</v>
      </c>
      <c r="C34">
        <v>31</v>
      </c>
      <c r="D34">
        <v>35</v>
      </c>
      <c r="E34">
        <f t="shared" ref="E34:E57" si="7">D34-C34</f>
        <v>4</v>
      </c>
      <c r="F34" t="s">
        <v>36</v>
      </c>
      <c r="G34" t="s">
        <v>10</v>
      </c>
      <c r="H34" t="s">
        <v>12</v>
      </c>
      <c r="I34">
        <v>13</v>
      </c>
      <c r="J34" s="1" t="str">
        <f t="shared" si="4"/>
        <v>no</v>
      </c>
    </row>
    <row r="35" spans="1:10" x14ac:dyDescent="0.25">
      <c r="A35">
        <f>IF(E34&gt;=B34, 1, A34+1)</f>
        <v>2</v>
      </c>
      <c r="B35">
        <f>IF(E34&gt;=B34, 10, B34-E34)</f>
        <v>6</v>
      </c>
      <c r="C35">
        <f>D34</f>
        <v>35</v>
      </c>
      <c r="D35">
        <v>40</v>
      </c>
      <c r="E35">
        <f t="shared" si="7"/>
        <v>5</v>
      </c>
      <c r="F35" t="s">
        <v>36</v>
      </c>
      <c r="G35" t="s">
        <v>10</v>
      </c>
      <c r="H35" t="s">
        <v>35</v>
      </c>
      <c r="I35">
        <v>13</v>
      </c>
      <c r="J35" s="1" t="str">
        <f t="shared" si="4"/>
        <v>no</v>
      </c>
    </row>
    <row r="36" spans="1:10" x14ac:dyDescent="0.25">
      <c r="A36">
        <f>IF(E35&gt;=B35, 1, A35+1)</f>
        <v>3</v>
      </c>
      <c r="B36">
        <f>IF(E35&gt;=B35, 10, B35-E35)</f>
        <v>1</v>
      </c>
      <c r="C36">
        <f>D35</f>
        <v>40</v>
      </c>
      <c r="D36">
        <v>92</v>
      </c>
      <c r="E36">
        <f t="shared" si="7"/>
        <v>52</v>
      </c>
      <c r="F36" t="s">
        <v>19</v>
      </c>
      <c r="G36" t="s">
        <v>13</v>
      </c>
      <c r="H36" t="s">
        <v>20</v>
      </c>
      <c r="I36">
        <v>15</v>
      </c>
      <c r="J36" s="1" t="str">
        <f t="shared" si="4"/>
        <v>no</v>
      </c>
    </row>
    <row r="37" spans="1:10" x14ac:dyDescent="0.25">
      <c r="A37">
        <f>IF(E36&gt;=B36, 1, A36+1)</f>
        <v>1</v>
      </c>
      <c r="B37">
        <f>IF(E36&gt;=B36, 10, B36-E36)</f>
        <v>10</v>
      </c>
      <c r="C37">
        <f>D36</f>
        <v>92</v>
      </c>
      <c r="D37">
        <v>100</v>
      </c>
      <c r="E37">
        <f t="shared" si="7"/>
        <v>8</v>
      </c>
      <c r="F37" t="s">
        <v>34</v>
      </c>
      <c r="G37" t="s">
        <v>10</v>
      </c>
      <c r="H37" t="s">
        <v>12</v>
      </c>
      <c r="J37" s="1" t="str">
        <f t="shared" si="4"/>
        <v>yes</v>
      </c>
    </row>
    <row r="38" spans="1:10" x14ac:dyDescent="0.25">
      <c r="A38">
        <v>1</v>
      </c>
      <c r="B38">
        <v>10</v>
      </c>
      <c r="C38">
        <v>74</v>
      </c>
      <c r="D38">
        <v>80</v>
      </c>
      <c r="E38">
        <f t="shared" si="7"/>
        <v>6</v>
      </c>
      <c r="F38" t="s">
        <v>15</v>
      </c>
      <c r="G38" t="s">
        <v>10</v>
      </c>
      <c r="H38" t="s">
        <v>35</v>
      </c>
      <c r="I38">
        <v>13</v>
      </c>
      <c r="J38" s="1" t="str">
        <f t="shared" si="4"/>
        <v>no</v>
      </c>
    </row>
    <row r="39" spans="1:10" x14ac:dyDescent="0.25">
      <c r="A39">
        <f t="shared" ref="A39:A49" si="8">IF(E38&gt;=B38, 1, A38+1)</f>
        <v>2</v>
      </c>
      <c r="B39">
        <f t="shared" ref="B39:B49" si="9">IF(E38&gt;=B38, 10, B38-E38)</f>
        <v>4</v>
      </c>
      <c r="C39">
        <f>D38</f>
        <v>80</v>
      </c>
      <c r="D39">
        <v>85</v>
      </c>
      <c r="E39">
        <f t="shared" si="7"/>
        <v>5</v>
      </c>
      <c r="F39" t="s">
        <v>30</v>
      </c>
      <c r="G39" t="s">
        <v>10</v>
      </c>
      <c r="H39" t="s">
        <v>37</v>
      </c>
      <c r="J39" s="1" t="str">
        <f t="shared" si="4"/>
        <v>no</v>
      </c>
    </row>
    <row r="40" spans="1:10" x14ac:dyDescent="0.25">
      <c r="A40">
        <f t="shared" si="8"/>
        <v>1</v>
      </c>
      <c r="B40">
        <f t="shared" si="9"/>
        <v>10</v>
      </c>
      <c r="C40">
        <f>D39</f>
        <v>85</v>
      </c>
      <c r="D40">
        <v>85</v>
      </c>
      <c r="E40">
        <f t="shared" si="7"/>
        <v>0</v>
      </c>
      <c r="F40" t="s">
        <v>30</v>
      </c>
      <c r="G40" t="s">
        <v>13</v>
      </c>
      <c r="J40" s="1" t="str">
        <f t="shared" si="4"/>
        <v>no</v>
      </c>
    </row>
    <row r="41" spans="1:10" x14ac:dyDescent="0.25">
      <c r="A41">
        <f t="shared" si="8"/>
        <v>2</v>
      </c>
      <c r="B41">
        <f t="shared" si="9"/>
        <v>10</v>
      </c>
      <c r="C41">
        <f>D40</f>
        <v>85</v>
      </c>
      <c r="D41">
        <v>85</v>
      </c>
      <c r="E41">
        <f t="shared" si="7"/>
        <v>0</v>
      </c>
      <c r="F41" t="s">
        <v>19</v>
      </c>
      <c r="G41" t="s">
        <v>13</v>
      </c>
      <c r="H41" t="s">
        <v>39</v>
      </c>
      <c r="J41" s="1" t="str">
        <f t="shared" si="4"/>
        <v>no</v>
      </c>
    </row>
    <row r="42" spans="1:10" x14ac:dyDescent="0.25">
      <c r="A42">
        <f t="shared" si="8"/>
        <v>3</v>
      </c>
      <c r="B42">
        <f t="shared" si="9"/>
        <v>10</v>
      </c>
      <c r="C42">
        <f>D41</f>
        <v>85</v>
      </c>
      <c r="D42">
        <v>88</v>
      </c>
      <c r="E42">
        <f t="shared" si="7"/>
        <v>3</v>
      </c>
      <c r="F42" t="s">
        <v>19</v>
      </c>
      <c r="G42" t="s">
        <v>13</v>
      </c>
      <c r="H42" t="s">
        <v>20</v>
      </c>
      <c r="I42">
        <v>11</v>
      </c>
      <c r="J42" s="1" t="str">
        <f t="shared" si="4"/>
        <v>no</v>
      </c>
    </row>
    <row r="43" spans="1:10" x14ac:dyDescent="0.25">
      <c r="A43">
        <f t="shared" si="8"/>
        <v>4</v>
      </c>
      <c r="B43">
        <f t="shared" si="9"/>
        <v>7</v>
      </c>
      <c r="C43">
        <f>D42</f>
        <v>88</v>
      </c>
      <c r="D43">
        <v>100</v>
      </c>
      <c r="E43">
        <f t="shared" si="7"/>
        <v>12</v>
      </c>
      <c r="F43" t="s">
        <v>11</v>
      </c>
      <c r="G43" t="s">
        <v>13</v>
      </c>
      <c r="H43" t="s">
        <v>39</v>
      </c>
      <c r="J43" s="1" t="str">
        <f t="shared" si="4"/>
        <v>yes</v>
      </c>
    </row>
    <row r="44" spans="1:10" x14ac:dyDescent="0.25">
      <c r="A44">
        <f t="shared" si="8"/>
        <v>1</v>
      </c>
      <c r="B44">
        <f t="shared" si="9"/>
        <v>10</v>
      </c>
      <c r="C44">
        <v>71</v>
      </c>
      <c r="D44">
        <v>71</v>
      </c>
      <c r="E44">
        <f t="shared" si="7"/>
        <v>0</v>
      </c>
      <c r="F44" t="s">
        <v>23</v>
      </c>
      <c r="G44" t="s">
        <v>13</v>
      </c>
      <c r="H44" t="s">
        <v>38</v>
      </c>
      <c r="J44" s="1" t="str">
        <f t="shared" si="4"/>
        <v>no</v>
      </c>
    </row>
    <row r="45" spans="1:10" x14ac:dyDescent="0.25">
      <c r="A45">
        <f t="shared" si="8"/>
        <v>2</v>
      </c>
      <c r="B45">
        <f t="shared" si="9"/>
        <v>10</v>
      </c>
      <c r="C45">
        <f>D44</f>
        <v>71</v>
      </c>
      <c r="D45">
        <v>72</v>
      </c>
      <c r="E45">
        <f t="shared" si="7"/>
        <v>1</v>
      </c>
      <c r="F45" t="s">
        <v>23</v>
      </c>
      <c r="G45" t="s">
        <v>10</v>
      </c>
      <c r="H45" t="s">
        <v>12</v>
      </c>
      <c r="I45">
        <v>70</v>
      </c>
      <c r="J45" s="1" t="str">
        <f t="shared" si="4"/>
        <v>no</v>
      </c>
    </row>
    <row r="46" spans="1:10" x14ac:dyDescent="0.25">
      <c r="A46">
        <f t="shared" si="8"/>
        <v>3</v>
      </c>
      <c r="B46">
        <f t="shared" si="9"/>
        <v>9</v>
      </c>
      <c r="C46">
        <f>D45</f>
        <v>72</v>
      </c>
      <c r="D46">
        <v>74</v>
      </c>
      <c r="E46">
        <f t="shared" si="7"/>
        <v>2</v>
      </c>
      <c r="F46" t="s">
        <v>31</v>
      </c>
      <c r="G46" t="s">
        <v>10</v>
      </c>
      <c r="H46" t="s">
        <v>32</v>
      </c>
      <c r="J46" s="1" t="str">
        <f t="shared" si="4"/>
        <v>no</v>
      </c>
    </row>
    <row r="47" spans="1:10" x14ac:dyDescent="0.25">
      <c r="A47">
        <f t="shared" si="8"/>
        <v>4</v>
      </c>
      <c r="B47">
        <f t="shared" si="9"/>
        <v>7</v>
      </c>
      <c r="C47">
        <f>D46</f>
        <v>74</v>
      </c>
      <c r="D47">
        <v>88</v>
      </c>
      <c r="E47">
        <f t="shared" si="7"/>
        <v>14</v>
      </c>
      <c r="F47" t="s">
        <v>23</v>
      </c>
      <c r="G47" t="s">
        <v>10</v>
      </c>
      <c r="H47" t="s">
        <v>22</v>
      </c>
      <c r="J47" s="1" t="str">
        <f t="shared" si="4"/>
        <v>no</v>
      </c>
    </row>
    <row r="48" spans="1:10" x14ac:dyDescent="0.25">
      <c r="A48">
        <f t="shared" si="8"/>
        <v>1</v>
      </c>
      <c r="B48">
        <f t="shared" si="9"/>
        <v>10</v>
      </c>
      <c r="C48">
        <f>D47</f>
        <v>88</v>
      </c>
      <c r="D48">
        <v>98</v>
      </c>
      <c r="E48">
        <f t="shared" si="7"/>
        <v>10</v>
      </c>
      <c r="F48" t="s">
        <v>19</v>
      </c>
      <c r="G48" t="s">
        <v>13</v>
      </c>
      <c r="H48" t="s">
        <v>26</v>
      </c>
      <c r="I48">
        <v>15</v>
      </c>
      <c r="J48" s="1" t="str">
        <f t="shared" si="4"/>
        <v>no</v>
      </c>
    </row>
    <row r="49" spans="1:10" x14ac:dyDescent="0.25">
      <c r="A49">
        <f t="shared" si="8"/>
        <v>1</v>
      </c>
      <c r="B49">
        <f t="shared" si="9"/>
        <v>10</v>
      </c>
      <c r="C49">
        <f>D48</f>
        <v>98</v>
      </c>
      <c r="D49">
        <v>100</v>
      </c>
      <c r="E49">
        <f t="shared" si="7"/>
        <v>2</v>
      </c>
      <c r="F49" t="s">
        <v>28</v>
      </c>
      <c r="G49" t="s">
        <v>10</v>
      </c>
      <c r="H49" t="s">
        <v>12</v>
      </c>
      <c r="J49" s="1" t="str">
        <f t="shared" si="4"/>
        <v>yes</v>
      </c>
    </row>
    <row r="50" spans="1:10" x14ac:dyDescent="0.25">
      <c r="A50">
        <v>1</v>
      </c>
      <c r="B50">
        <v>10</v>
      </c>
      <c r="C50">
        <v>56</v>
      </c>
      <c r="D50">
        <v>85</v>
      </c>
      <c r="E50">
        <f t="shared" si="7"/>
        <v>29</v>
      </c>
      <c r="F50" t="s">
        <v>16</v>
      </c>
      <c r="G50" t="s">
        <v>10</v>
      </c>
      <c r="H50" t="s">
        <v>32</v>
      </c>
      <c r="I50">
        <v>11</v>
      </c>
      <c r="J50" s="1" t="str">
        <f t="shared" si="4"/>
        <v>no</v>
      </c>
    </row>
    <row r="51" spans="1:10" x14ac:dyDescent="0.25">
      <c r="A51">
        <f t="shared" ref="A51:A57" si="10">IF(E50&gt;=B50, 1, A50+1)</f>
        <v>1</v>
      </c>
      <c r="B51">
        <f t="shared" ref="B51:B57" si="11">IF(E50&gt;=B50, 10, B50-E50)</f>
        <v>10</v>
      </c>
      <c r="C51">
        <f>D50</f>
        <v>85</v>
      </c>
      <c r="D51">
        <v>85</v>
      </c>
      <c r="E51">
        <f t="shared" si="7"/>
        <v>0</v>
      </c>
      <c r="F51" t="s">
        <v>16</v>
      </c>
      <c r="G51" t="s">
        <v>13</v>
      </c>
      <c r="H51" t="s">
        <v>38</v>
      </c>
      <c r="I51">
        <v>6</v>
      </c>
      <c r="J51" s="1" t="str">
        <f t="shared" si="4"/>
        <v>no</v>
      </c>
    </row>
    <row r="52" spans="1:10" x14ac:dyDescent="0.25">
      <c r="A52">
        <f t="shared" si="10"/>
        <v>2</v>
      </c>
      <c r="B52">
        <f t="shared" si="11"/>
        <v>10</v>
      </c>
      <c r="C52">
        <f>D51</f>
        <v>85</v>
      </c>
      <c r="D52">
        <v>95</v>
      </c>
      <c r="E52">
        <f t="shared" si="7"/>
        <v>10</v>
      </c>
      <c r="F52" t="s">
        <v>19</v>
      </c>
      <c r="G52" t="s">
        <v>10</v>
      </c>
      <c r="H52" t="s">
        <v>29</v>
      </c>
      <c r="I52">
        <v>20</v>
      </c>
      <c r="J52" s="1" t="str">
        <f t="shared" si="4"/>
        <v>no</v>
      </c>
    </row>
    <row r="53" spans="1:10" x14ac:dyDescent="0.25">
      <c r="A53">
        <f t="shared" si="10"/>
        <v>1</v>
      </c>
      <c r="B53">
        <f t="shared" si="11"/>
        <v>10</v>
      </c>
      <c r="C53">
        <v>90</v>
      </c>
      <c r="D53">
        <v>100</v>
      </c>
      <c r="E53">
        <f t="shared" si="7"/>
        <v>10</v>
      </c>
      <c r="F53" t="s">
        <v>28</v>
      </c>
      <c r="G53" t="s">
        <v>10</v>
      </c>
      <c r="H53" t="s">
        <v>32</v>
      </c>
      <c r="J53" s="1" t="str">
        <f t="shared" si="4"/>
        <v>yes</v>
      </c>
    </row>
    <row r="54" spans="1:10" x14ac:dyDescent="0.25">
      <c r="A54">
        <f t="shared" si="10"/>
        <v>1</v>
      </c>
      <c r="B54">
        <f t="shared" si="11"/>
        <v>10</v>
      </c>
      <c r="C54">
        <v>35</v>
      </c>
      <c r="D54">
        <v>50</v>
      </c>
      <c r="E54">
        <f t="shared" si="7"/>
        <v>15</v>
      </c>
      <c r="F54" t="s">
        <v>23</v>
      </c>
      <c r="G54" t="s">
        <v>10</v>
      </c>
      <c r="H54" t="s">
        <v>32</v>
      </c>
      <c r="J54" s="1" t="str">
        <f t="shared" si="4"/>
        <v>no</v>
      </c>
    </row>
    <row r="55" spans="1:10" x14ac:dyDescent="0.25">
      <c r="A55">
        <f t="shared" si="10"/>
        <v>1</v>
      </c>
      <c r="B55">
        <f t="shared" si="11"/>
        <v>10</v>
      </c>
      <c r="C55">
        <f>D54</f>
        <v>50</v>
      </c>
      <c r="D55">
        <v>90</v>
      </c>
      <c r="E55">
        <f t="shared" si="7"/>
        <v>40</v>
      </c>
      <c r="F55" t="s">
        <v>23</v>
      </c>
      <c r="G55" t="s">
        <v>10</v>
      </c>
      <c r="H55" t="s">
        <v>32</v>
      </c>
      <c r="I55">
        <v>21</v>
      </c>
      <c r="J55" s="1" t="str">
        <f t="shared" si="4"/>
        <v>no</v>
      </c>
    </row>
    <row r="56" spans="1:10" x14ac:dyDescent="0.25">
      <c r="A56">
        <f t="shared" si="10"/>
        <v>1</v>
      </c>
      <c r="B56">
        <f t="shared" si="11"/>
        <v>10</v>
      </c>
      <c r="C56">
        <f>D55</f>
        <v>90</v>
      </c>
      <c r="D56">
        <v>98</v>
      </c>
      <c r="E56">
        <f t="shared" si="7"/>
        <v>8</v>
      </c>
      <c r="F56" t="s">
        <v>23</v>
      </c>
      <c r="G56" t="s">
        <v>10</v>
      </c>
      <c r="H56" t="s">
        <v>32</v>
      </c>
      <c r="I56">
        <v>21</v>
      </c>
      <c r="J56" s="1" t="str">
        <f t="shared" si="4"/>
        <v>no</v>
      </c>
    </row>
    <row r="57" spans="1:10" x14ac:dyDescent="0.25">
      <c r="A57">
        <f t="shared" si="10"/>
        <v>2</v>
      </c>
      <c r="B57">
        <f t="shared" si="11"/>
        <v>2</v>
      </c>
      <c r="C57">
        <f>D56</f>
        <v>98</v>
      </c>
      <c r="D57">
        <v>100</v>
      </c>
      <c r="E57">
        <f t="shared" si="7"/>
        <v>2</v>
      </c>
      <c r="F57" t="s">
        <v>31</v>
      </c>
      <c r="G57" t="s">
        <v>10</v>
      </c>
      <c r="H57" t="s">
        <v>32</v>
      </c>
      <c r="J57" s="1" t="str">
        <f t="shared" si="4"/>
        <v>yes</v>
      </c>
    </row>
  </sheetData>
  <dataValidations count="3">
    <dataValidation type="list" allowBlank="1" showInputMessage="1" showErrorMessage="1" sqref="G1:G1048576" xr:uid="{3634A45F-EFAB-440B-8AF0-67793EDFAA7C}">
      <formula1>"run, pass"</formula1>
    </dataValidation>
    <dataValidation type="list" allowBlank="1" showInputMessage="1" showErrorMessage="1" sqref="F1:F1048576" xr:uid="{09A46462-C9AA-48E8-B8B3-E0C268745DAA}">
      <formula1>"Trey R, Trey L, Doubles, Double tight, BSR WR, BSR WL, BSL WR, BSL WL, Trips L, Trips R, Trips L TE, Trips R TE, BSR, BSL, Trips Bunch R, Trips Bunch L, Gun BSR, Gun BSL, Unbalanced WR, Unbalanced WL, Gun"</formula1>
    </dataValidation>
    <dataValidation type="list" allowBlank="1" showInputMessage="1" showErrorMessage="1" sqref="H1:H1048576" xr:uid="{8BEB818A-E537-44F7-AB99-4F01EE6D0344}">
      <formula1>"Punt, Dive, Lead, Stretch Left, Stretch Right, Toss Left, Toss Right, Trap Left, Trap Right, Quick Screen Left, Quick Screen Right, Slant, Curl, Out, Corner, Post, Go, Drag, Bubble Left, Bubble Right, Pick Pass, Zone Read, Comeback"</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19F0-134B-4C7C-8628-51B39D168C6E}">
  <dimension ref="A3:D6"/>
  <sheetViews>
    <sheetView workbookViewId="0">
      <selection activeCell="G18" sqref="G18"/>
    </sheetView>
  </sheetViews>
  <sheetFormatPr defaultRowHeight="15" x14ac:dyDescent="0.25"/>
  <cols>
    <col min="1" max="1" width="13.42578125" bestFit="1" customWidth="1"/>
    <col min="2" max="2" width="16.140625" bestFit="1" customWidth="1"/>
    <col min="3" max="3" width="15.5703125" bestFit="1" customWidth="1"/>
    <col min="4" max="4" width="17.85546875" bestFit="1" customWidth="1"/>
  </cols>
  <sheetData>
    <row r="3" spans="1:4" x14ac:dyDescent="0.25">
      <c r="A3" s="2" t="s">
        <v>41</v>
      </c>
      <c r="B3" t="s">
        <v>44</v>
      </c>
      <c r="C3" t="s">
        <v>43</v>
      </c>
      <c r="D3" t="s">
        <v>45</v>
      </c>
    </row>
    <row r="4" spans="1:4" x14ac:dyDescent="0.25">
      <c r="A4" s="3" t="s">
        <v>13</v>
      </c>
      <c r="B4" s="1">
        <v>25</v>
      </c>
      <c r="C4" s="1">
        <v>152</v>
      </c>
      <c r="D4" s="1">
        <v>6.08</v>
      </c>
    </row>
    <row r="5" spans="1:4" x14ac:dyDescent="0.25">
      <c r="A5" s="3" t="s">
        <v>10</v>
      </c>
      <c r="B5" s="1">
        <v>29</v>
      </c>
      <c r="C5" s="1">
        <v>254</v>
      </c>
      <c r="D5" s="1">
        <v>8.7586206896551726</v>
      </c>
    </row>
    <row r="6" spans="1:4" x14ac:dyDescent="0.25">
      <c r="A6" s="3" t="s">
        <v>42</v>
      </c>
      <c r="B6" s="1">
        <v>54</v>
      </c>
      <c r="C6" s="1">
        <v>406</v>
      </c>
      <c r="D6" s="1">
        <v>7.5185185185185182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62C4-BB60-4365-B8E7-3C382EEB324F}">
  <dimension ref="A3:D17"/>
  <sheetViews>
    <sheetView workbookViewId="0">
      <selection activeCell="C6" sqref="C6"/>
    </sheetView>
  </sheetViews>
  <sheetFormatPr defaultRowHeight="15" x14ac:dyDescent="0.25"/>
  <cols>
    <col min="1" max="1" width="13.42578125" bestFit="1" customWidth="1"/>
    <col min="2" max="2" width="16.140625" bestFit="1" customWidth="1"/>
    <col min="3" max="3" width="15.5703125" bestFit="1" customWidth="1"/>
    <col min="4" max="4" width="17.85546875" bestFit="1" customWidth="1"/>
    <col min="5" max="5" width="11.140625" bestFit="1" customWidth="1"/>
  </cols>
  <sheetData>
    <row r="3" spans="1:4" x14ac:dyDescent="0.25">
      <c r="A3" s="2" t="s">
        <v>41</v>
      </c>
      <c r="B3" t="s">
        <v>44</v>
      </c>
      <c r="C3" t="s">
        <v>43</v>
      </c>
      <c r="D3" t="s">
        <v>45</v>
      </c>
    </row>
    <row r="4" spans="1:4" x14ac:dyDescent="0.25">
      <c r="A4" s="3" t="s">
        <v>28</v>
      </c>
      <c r="B4" s="1">
        <v>4</v>
      </c>
      <c r="C4" s="1">
        <v>12</v>
      </c>
      <c r="D4" s="1">
        <v>3</v>
      </c>
    </row>
    <row r="5" spans="1:4" x14ac:dyDescent="0.25">
      <c r="A5" s="3" t="s">
        <v>25</v>
      </c>
      <c r="B5" s="1">
        <v>1</v>
      </c>
      <c r="C5" s="1">
        <v>0</v>
      </c>
      <c r="D5" s="1">
        <v>0</v>
      </c>
    </row>
    <row r="6" spans="1:4" x14ac:dyDescent="0.25">
      <c r="A6" s="3" t="s">
        <v>34</v>
      </c>
      <c r="B6" s="1">
        <v>3</v>
      </c>
      <c r="C6" s="1">
        <v>11</v>
      </c>
      <c r="D6" s="1">
        <v>3.6666666666666665</v>
      </c>
    </row>
    <row r="7" spans="1:4" x14ac:dyDescent="0.25">
      <c r="A7" s="3" t="s">
        <v>36</v>
      </c>
      <c r="B7" s="1">
        <v>2</v>
      </c>
      <c r="C7" s="1">
        <v>9</v>
      </c>
      <c r="D7" s="1">
        <v>4.5</v>
      </c>
    </row>
    <row r="8" spans="1:4" x14ac:dyDescent="0.25">
      <c r="A8" s="3" t="s">
        <v>31</v>
      </c>
      <c r="B8" s="1">
        <v>4</v>
      </c>
      <c r="C8" s="1">
        <v>8</v>
      </c>
      <c r="D8" s="1">
        <v>2</v>
      </c>
    </row>
    <row r="9" spans="1:4" x14ac:dyDescent="0.25">
      <c r="A9" s="3" t="s">
        <v>23</v>
      </c>
      <c r="B9" s="1">
        <v>7</v>
      </c>
      <c r="C9" s="1">
        <v>96</v>
      </c>
      <c r="D9" s="1">
        <v>13.714285714285714</v>
      </c>
    </row>
    <row r="10" spans="1:4" x14ac:dyDescent="0.25">
      <c r="A10" s="3" t="s">
        <v>11</v>
      </c>
      <c r="B10" s="1">
        <v>2</v>
      </c>
      <c r="C10" s="1">
        <v>11</v>
      </c>
      <c r="D10" s="1">
        <v>5.5</v>
      </c>
    </row>
    <row r="11" spans="1:4" x14ac:dyDescent="0.25">
      <c r="A11" s="3" t="s">
        <v>16</v>
      </c>
      <c r="B11" s="1">
        <v>11</v>
      </c>
      <c r="C11" s="1">
        <v>118</v>
      </c>
      <c r="D11" s="1">
        <v>10.727272727272727</v>
      </c>
    </row>
    <row r="12" spans="1:4" x14ac:dyDescent="0.25">
      <c r="A12" s="3" t="s">
        <v>33</v>
      </c>
      <c r="B12" s="1">
        <v>1</v>
      </c>
      <c r="C12" s="1">
        <v>11</v>
      </c>
      <c r="D12" s="1">
        <v>11</v>
      </c>
    </row>
    <row r="13" spans="1:4" x14ac:dyDescent="0.25">
      <c r="A13" s="3" t="s">
        <v>30</v>
      </c>
      <c r="B13" s="1">
        <v>3</v>
      </c>
      <c r="C13" s="1">
        <v>2</v>
      </c>
      <c r="D13" s="1">
        <v>0.66666666666666663</v>
      </c>
    </row>
    <row r="14" spans="1:4" x14ac:dyDescent="0.25">
      <c r="A14" s="3" t="s">
        <v>15</v>
      </c>
      <c r="B14" s="1">
        <v>2</v>
      </c>
      <c r="C14" s="1">
        <v>13</v>
      </c>
      <c r="D14" s="1">
        <v>6.5</v>
      </c>
    </row>
    <row r="15" spans="1:4" x14ac:dyDescent="0.25">
      <c r="A15" s="3" t="s">
        <v>19</v>
      </c>
      <c r="B15" s="1">
        <v>10</v>
      </c>
      <c r="C15" s="1">
        <v>87</v>
      </c>
      <c r="D15" s="1">
        <v>8.6999999999999993</v>
      </c>
    </row>
    <row r="16" spans="1:4" x14ac:dyDescent="0.25">
      <c r="A16" s="3" t="s">
        <v>18</v>
      </c>
      <c r="B16" s="1">
        <v>4</v>
      </c>
      <c r="C16" s="1">
        <v>28</v>
      </c>
      <c r="D16" s="1">
        <v>7</v>
      </c>
    </row>
    <row r="17" spans="1:4" x14ac:dyDescent="0.25">
      <c r="A17" s="3" t="s">
        <v>42</v>
      </c>
      <c r="B17" s="1">
        <v>54</v>
      </c>
      <c r="C17" s="1">
        <v>406</v>
      </c>
      <c r="D17" s="1">
        <v>7.5185185185185182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C232-AE62-414B-B26B-D413B5F3B218}">
  <dimension ref="A3:D11"/>
  <sheetViews>
    <sheetView workbookViewId="0">
      <selection activeCell="H31" sqref="H31"/>
    </sheetView>
  </sheetViews>
  <sheetFormatPr defaultRowHeight="15" x14ac:dyDescent="0.25"/>
  <cols>
    <col min="1" max="1" width="17.42578125" bestFit="1" customWidth="1"/>
    <col min="2" max="2" width="16.85546875" bestFit="1" customWidth="1"/>
    <col min="3" max="3" width="4" bestFit="1" customWidth="1"/>
    <col min="4" max="4" width="11.28515625" bestFit="1" customWidth="1"/>
    <col min="5" max="5" width="5.85546875" bestFit="1" customWidth="1"/>
    <col min="6" max="7" width="7.85546875" bestFit="1" customWidth="1"/>
    <col min="8" max="8" width="8.5703125" bestFit="1" customWidth="1"/>
    <col min="9" max="9" width="8.85546875" bestFit="1" customWidth="1"/>
    <col min="10" max="10" width="11.28515625" bestFit="1" customWidth="1"/>
  </cols>
  <sheetData>
    <row r="3" spans="1:4" x14ac:dyDescent="0.25">
      <c r="A3" s="2" t="s">
        <v>47</v>
      </c>
      <c r="B3" s="2" t="s">
        <v>48</v>
      </c>
    </row>
    <row r="4" spans="1:4" x14ac:dyDescent="0.25">
      <c r="A4" s="2" t="s">
        <v>41</v>
      </c>
      <c r="B4" t="s">
        <v>13</v>
      </c>
      <c r="C4" t="s">
        <v>10</v>
      </c>
      <c r="D4" t="s">
        <v>42</v>
      </c>
    </row>
    <row r="5" spans="1:4" x14ac:dyDescent="0.25">
      <c r="A5" s="3" t="s">
        <v>46</v>
      </c>
      <c r="B5" s="1">
        <v>2</v>
      </c>
      <c r="C5" s="1">
        <v>5</v>
      </c>
      <c r="D5" s="1">
        <v>7</v>
      </c>
    </row>
    <row r="6" spans="1:4" x14ac:dyDescent="0.25">
      <c r="A6" s="4" t="s">
        <v>28</v>
      </c>
      <c r="B6" s="1"/>
      <c r="C6" s="1">
        <v>2</v>
      </c>
      <c r="D6" s="1">
        <v>2</v>
      </c>
    </row>
    <row r="7" spans="1:4" x14ac:dyDescent="0.25">
      <c r="A7" s="4" t="s">
        <v>34</v>
      </c>
      <c r="B7" s="1"/>
      <c r="C7" s="1">
        <v>1</v>
      </c>
      <c r="D7" s="1">
        <v>1</v>
      </c>
    </row>
    <row r="8" spans="1:4" x14ac:dyDescent="0.25">
      <c r="A8" s="4" t="s">
        <v>31</v>
      </c>
      <c r="B8" s="1"/>
      <c r="C8" s="1">
        <v>1</v>
      </c>
      <c r="D8" s="1">
        <v>1</v>
      </c>
    </row>
    <row r="9" spans="1:4" x14ac:dyDescent="0.25">
      <c r="A9" s="4" t="s">
        <v>11</v>
      </c>
      <c r="B9" s="1">
        <v>1</v>
      </c>
      <c r="C9" s="1"/>
      <c r="D9" s="1">
        <v>1</v>
      </c>
    </row>
    <row r="10" spans="1:4" x14ac:dyDescent="0.25">
      <c r="A10" s="4" t="s">
        <v>16</v>
      </c>
      <c r="B10" s="1">
        <v>1</v>
      </c>
      <c r="C10" s="1">
        <v>1</v>
      </c>
      <c r="D10" s="1">
        <v>2</v>
      </c>
    </row>
    <row r="11" spans="1:4" x14ac:dyDescent="0.25">
      <c r="A11" s="3" t="s">
        <v>42</v>
      </c>
      <c r="B11" s="1">
        <v>2</v>
      </c>
      <c r="C11" s="1">
        <v>5</v>
      </c>
      <c r="D11" s="1">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 By Play</vt:lpstr>
      <vt:lpstr>Run_Pass_Stats</vt:lpstr>
      <vt:lpstr>Formation_Stats</vt:lpstr>
      <vt:lpstr>TD_Stats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Tanner Corn</dc:creator>
  <cp:lastModifiedBy>Tanner Corn</cp:lastModifiedBy>
  <dcterms:created xsi:type="dcterms:W3CDTF">2025-09-19T22:48:18Z</dcterms:created>
  <dcterms:modified xsi:type="dcterms:W3CDTF">2025-10-10T23:01:49Z</dcterms:modified>
</cp:coreProperties>
</file>