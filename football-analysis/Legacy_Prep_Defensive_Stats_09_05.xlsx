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8fee492536875354/Documents/"/>
    </mc:Choice>
  </mc:AlternateContent>
  <xr:revisionPtr revIDLastSave="6" documentId="8_{5463F984-AD41-4EAB-A1AE-86A61879CE8B}" xr6:coauthVersionLast="47" xr6:coauthVersionMax="47" xr10:uidLastSave="{9C67C01E-BDA6-4E46-90E6-25776341E3C1}"/>
  <bookViews>
    <workbookView xWindow="-120" yWindow="-120" windowWidth="23280" windowHeight="14880" xr2:uid="{87CE6C0A-6E0F-4E59-A1A7-5723EDFD369C}"/>
  </bookViews>
  <sheets>
    <sheet name="Stats" sheetId="1" r:id="rId1"/>
    <sheet name="Run_Pass" sheetId="11" r:id="rId2"/>
    <sheet name="Formation" sheetId="7" r:id="rId3"/>
    <sheet name="Formation_Run_Pass" sheetId="13" r:id="rId4"/>
  </sheets>
  <definedNames>
    <definedName name="sr">Stats!#REF!</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D5" i="13"/>
  <c r="D6" i="13"/>
  <c r="D7" i="13"/>
  <c r="D8" i="13"/>
  <c r="D9" i="13"/>
  <c r="D10" i="13"/>
  <c r="D11" i="13"/>
  <c r="D12" i="13"/>
  <c r="D13" i="13"/>
  <c r="D14" i="13"/>
  <c r="D15" i="13"/>
  <c r="D16" i="13"/>
  <c r="D17" i="13"/>
  <c r="D18" i="13"/>
  <c r="D4" i="13"/>
  <c r="D5" i="7"/>
  <c r="D6" i="7"/>
  <c r="D7" i="7"/>
  <c r="D8" i="7"/>
  <c r="D9" i="7"/>
  <c r="D10" i="7"/>
  <c r="D11" i="7"/>
  <c r="D12" i="7"/>
  <c r="D4" i="7"/>
  <c r="D5" i="11"/>
  <c r="D6" i="11"/>
  <c r="D4" i="11"/>
  <c r="A43" i="1"/>
  <c r="B43" i="1"/>
  <c r="A32" i="1"/>
  <c r="B32" i="1"/>
  <c r="B30" i="1"/>
  <c r="B27" i="1"/>
  <c r="A28" i="1" s="1"/>
  <c r="B24" i="1"/>
  <c r="A18" i="1"/>
  <c r="B18" i="1"/>
  <c r="B19" i="1" s="1"/>
  <c r="A20" i="1" s="1"/>
  <c r="A16" i="1"/>
  <c r="B16" i="1"/>
  <c r="A11" i="1"/>
  <c r="B11" i="1"/>
  <c r="B12" i="1" s="1"/>
  <c r="B13" i="1" s="1"/>
  <c r="B14" i="1" s="1"/>
  <c r="A7" i="1"/>
  <c r="B7" i="1"/>
  <c r="B3" i="1"/>
  <c r="A33" i="1" l="1"/>
  <c r="A44" i="1"/>
  <c r="B44" i="1"/>
  <c r="B33" i="1"/>
  <c r="A19" i="1"/>
  <c r="B28" i="1"/>
  <c r="A12" i="1"/>
  <c r="B20" i="1"/>
  <c r="B25" i="1"/>
  <c r="A8" i="1"/>
  <c r="B8" i="1"/>
  <c r="A4" i="1"/>
  <c r="B4" i="1"/>
  <c r="B5" i="1" s="1"/>
  <c r="A45" i="1" l="1"/>
  <c r="B45" i="1"/>
  <c r="B34" i="1"/>
  <c r="B35" i="1" s="1"/>
  <c r="A34" i="1"/>
  <c r="A29" i="1"/>
  <c r="A30" i="1" s="1"/>
  <c r="A21" i="1"/>
  <c r="B21" i="1"/>
  <c r="A9" i="1"/>
  <c r="B9" i="1"/>
  <c r="A5" i="1"/>
  <c r="A46" i="1" l="1"/>
  <c r="B46" i="1"/>
  <c r="A36" i="1"/>
  <c r="B36" i="1"/>
  <c r="A22" i="1"/>
  <c r="B22" i="1"/>
  <c r="A23" i="1" s="1"/>
  <c r="A24" i="1" s="1"/>
  <c r="A25" i="1" s="1"/>
  <c r="A37" i="1" l="1"/>
  <c r="B37" i="1"/>
  <c r="A38" i="1" l="1"/>
  <c r="B38" i="1"/>
  <c r="A39" i="1" l="1"/>
  <c r="B39" i="1"/>
  <c r="A40" i="1" l="1"/>
  <c r="B40" i="1"/>
  <c r="A41" i="1" l="1"/>
  <c r="B41" i="1"/>
</calcChain>
</file>

<file path=xl/sharedStrings.xml><?xml version="1.0" encoding="utf-8"?>
<sst xmlns="http://schemas.openxmlformats.org/spreadsheetml/2006/main" count="173" uniqueCount="40">
  <si>
    <t>formation</t>
  </si>
  <si>
    <t>down</t>
  </si>
  <si>
    <t>play</t>
  </si>
  <si>
    <t>play maker</t>
  </si>
  <si>
    <t>ytg</t>
  </si>
  <si>
    <t>yard +/-</t>
  </si>
  <si>
    <t>B Spread Wing Left</t>
  </si>
  <si>
    <t>Lead Right</t>
  </si>
  <si>
    <t>B Spread Wing Right</t>
  </si>
  <si>
    <t>Quads Left Empty</t>
  </si>
  <si>
    <t>Quick Screen Left</t>
  </si>
  <si>
    <t>Spread Doubles</t>
  </si>
  <si>
    <t>Slant</t>
  </si>
  <si>
    <t>TD</t>
  </si>
  <si>
    <t>Run/Pass</t>
  </si>
  <si>
    <t>Run</t>
  </si>
  <si>
    <t>Pass</t>
  </si>
  <si>
    <t>Row Labels</t>
  </si>
  <si>
    <t>Grand Total</t>
  </si>
  <si>
    <t>Average</t>
  </si>
  <si>
    <t>Trips Left</t>
  </si>
  <si>
    <t>Curl</t>
  </si>
  <si>
    <t>Quick Screen Right</t>
  </si>
  <si>
    <t>Pick Pass</t>
  </si>
  <si>
    <t>Lead</t>
  </si>
  <si>
    <t>Trips Right</t>
  </si>
  <si>
    <t>Dive</t>
  </si>
  <si>
    <t>Wheel</t>
  </si>
  <si>
    <t>Punt</t>
  </si>
  <si>
    <t>Out</t>
  </si>
  <si>
    <t>Corner</t>
  </si>
  <si>
    <t>Come Back</t>
  </si>
  <si>
    <t>Pick</t>
  </si>
  <si>
    <t>Bubble Right</t>
  </si>
  <si>
    <t>Go</t>
  </si>
  <si>
    <t>`0</t>
  </si>
  <si>
    <t>Count of yard +/-</t>
  </si>
  <si>
    <t>Quads Right Empty</t>
  </si>
  <si>
    <t>Swinging Gate Left</t>
  </si>
  <si>
    <t>Sum of yard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</si>
</sst>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0" xfId="1"/>
    <xf numFmtId="0" fontId="2" fillId="2" borderId="0" xfId="1" applyFont="1"/>
    <xf numFmtId="0" fontId="0" fillId="0" borderId="0" xfId="0" applyAlignment="1">
      <alignment horizontal="left" indent="1"/>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05.979048148147" createdVersion="8" refreshedVersion="8" minRefreshableVersion="3" recordCount="45" xr:uid="{EBDA8C43-9299-4485-810D-40ADB61AAE8B}">
  <cacheSource type="worksheet">
    <worksheetSource name="Table6"/>
  </cacheSource>
  <cacheFields count="8">
    <cacheField name="down" numFmtId="0">
      <sharedItems containsSemiMixedTypes="0" containsString="0" containsNumber="1" containsInteger="1" minValue="1" maxValue="4"/>
    </cacheField>
    <cacheField name="ytg" numFmtId="0">
      <sharedItems containsSemiMixedTypes="0" containsString="0" containsNumber="1" containsInteger="1" minValue="1" maxValue="20"/>
    </cacheField>
    <cacheField name="formation" numFmtId="0">
      <sharedItems containsBlank="1" count="9">
        <s v="Trips Left"/>
        <s v="B Spread Wing Right"/>
        <s v="B Spread Wing Left"/>
        <m/>
        <s v="Trips Right"/>
        <s v="Spread Doubles"/>
        <s v="Swinging Gate Left"/>
        <s v="Quads Left Empty"/>
        <s v="Quads Right Empty"/>
      </sharedItems>
    </cacheField>
    <cacheField name="Run/Pass" numFmtId="0">
      <sharedItems containsBlank="1" count="3">
        <s v="Pass"/>
        <m/>
        <s v="Run"/>
      </sharedItems>
    </cacheField>
    <cacheField name="play" numFmtId="0">
      <sharedItems containsBlank="1"/>
    </cacheField>
    <cacheField name="play maker" numFmtId="0">
      <sharedItems containsString="0" containsBlank="1" containsNumber="1" containsInteger="1" minValue="2" maxValue="77"/>
    </cacheField>
    <cacheField name="yard +/-" numFmtId="0">
      <sharedItems containsBlank="1" containsMixedTypes="1" containsNumber="1" containsInteger="1" minValue="-2" maxValue="23" count="16">
        <n v="0"/>
        <n v="-2"/>
        <m/>
        <n v="2"/>
        <n v="7"/>
        <n v="23"/>
        <s v="`0"/>
        <n v="-1"/>
        <n v="20"/>
        <n v="12"/>
        <n v="5"/>
        <n v="3"/>
        <n v="4"/>
        <n v="14"/>
        <n v="8"/>
        <n v="18"/>
      </sharedItems>
    </cacheField>
    <cacheField name="T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ner Corn" refreshedDate="45905.980609606479" createdVersion="8" refreshedVersion="8" minRefreshableVersion="3" recordCount="46" xr:uid="{8FA39ED6-069F-4FD2-8D7B-E8C97DD5A0DC}">
  <cacheSource type="worksheet">
    <worksheetSource ref="A1:H1048576" sheet="Stats"/>
  </cacheSource>
  <cacheFields count="8">
    <cacheField name="down" numFmtId="0">
      <sharedItems containsString="0" containsBlank="1" containsNumber="1" containsInteger="1" minValue="1" maxValue="4"/>
    </cacheField>
    <cacheField name="ytg" numFmtId="0">
      <sharedItems containsString="0" containsBlank="1" containsNumber="1" containsInteger="1" minValue="1" maxValue="20"/>
    </cacheField>
    <cacheField name="formation" numFmtId="0">
      <sharedItems containsBlank="1" count="9">
        <s v="Trips Left"/>
        <s v="B Spread Wing Right"/>
        <s v="B Spread Wing Left"/>
        <m/>
        <s v="Trips Right"/>
        <s v="Spread Doubles"/>
        <s v="Swinging Gate Left"/>
        <s v="Quads Left Empty"/>
        <s v="Quads Right Empty"/>
      </sharedItems>
    </cacheField>
    <cacheField name="Run/Pass" numFmtId="0">
      <sharedItems containsBlank="1" count="3">
        <s v="Pass"/>
        <m/>
        <s v="Run"/>
      </sharedItems>
    </cacheField>
    <cacheField name="play" numFmtId="0">
      <sharedItems containsBlank="1"/>
    </cacheField>
    <cacheField name="play maker" numFmtId="0">
      <sharedItems containsString="0" containsBlank="1" containsNumber="1" containsInteger="1" minValue="2" maxValue="77"/>
    </cacheField>
    <cacheField name="yard +/-" numFmtId="0">
      <sharedItems containsBlank="1" containsMixedTypes="1" containsNumber="1" containsInteger="1" minValue="-2" maxValue="23"/>
    </cacheField>
    <cacheField name="T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
    <n v="10"/>
    <x v="0"/>
    <x v="0"/>
    <s v="Curl"/>
    <m/>
    <x v="0"/>
    <m/>
  </r>
  <r>
    <n v="2"/>
    <n v="10"/>
    <x v="1"/>
    <x v="0"/>
    <s v="Quick Screen Right"/>
    <m/>
    <x v="1"/>
    <m/>
  </r>
  <r>
    <n v="3"/>
    <n v="12"/>
    <x v="2"/>
    <x v="0"/>
    <s v="Pick Pass"/>
    <m/>
    <x v="1"/>
    <m/>
  </r>
  <r>
    <n v="4"/>
    <n v="14"/>
    <x v="3"/>
    <x v="1"/>
    <s v="Punt"/>
    <m/>
    <x v="2"/>
    <m/>
  </r>
  <r>
    <n v="1"/>
    <n v="10"/>
    <x v="2"/>
    <x v="2"/>
    <s v="Lead"/>
    <n v="13"/>
    <x v="3"/>
    <m/>
  </r>
  <r>
    <n v="2"/>
    <n v="8"/>
    <x v="2"/>
    <x v="2"/>
    <s v="Lead"/>
    <n v="13"/>
    <x v="0"/>
    <m/>
  </r>
  <r>
    <n v="3"/>
    <n v="8"/>
    <x v="4"/>
    <x v="0"/>
    <s v="Quick Screen Right"/>
    <n v="28"/>
    <x v="4"/>
    <m/>
  </r>
  <r>
    <n v="4"/>
    <n v="1"/>
    <x v="2"/>
    <x v="2"/>
    <s v="Dive"/>
    <m/>
    <x v="1"/>
    <m/>
  </r>
  <r>
    <n v="1"/>
    <n v="20"/>
    <x v="1"/>
    <x v="0"/>
    <s v="Quick Screen Right"/>
    <m/>
    <x v="0"/>
    <m/>
  </r>
  <r>
    <n v="2"/>
    <n v="20"/>
    <x v="5"/>
    <x v="0"/>
    <s v="Curl"/>
    <n v="13"/>
    <x v="0"/>
    <m/>
  </r>
  <r>
    <n v="3"/>
    <n v="20"/>
    <x v="5"/>
    <x v="0"/>
    <s v="Wheel"/>
    <m/>
    <x v="5"/>
    <m/>
  </r>
  <r>
    <n v="1"/>
    <n v="10"/>
    <x v="5"/>
    <x v="0"/>
    <s v="Quick Screen Right"/>
    <m/>
    <x v="6"/>
    <m/>
  </r>
  <r>
    <n v="2"/>
    <n v="10"/>
    <x v="6"/>
    <x v="2"/>
    <s v="Lead Right"/>
    <m/>
    <x v="7"/>
    <m/>
  </r>
  <r>
    <n v="3"/>
    <n v="1"/>
    <x v="4"/>
    <x v="0"/>
    <s v="Curl"/>
    <n v="15"/>
    <x v="0"/>
    <m/>
  </r>
  <r>
    <n v="4"/>
    <n v="1"/>
    <x v="3"/>
    <x v="1"/>
    <s v="Punt"/>
    <m/>
    <x v="0"/>
    <m/>
  </r>
  <r>
    <n v="1"/>
    <n v="10"/>
    <x v="0"/>
    <x v="0"/>
    <s v="Out"/>
    <m/>
    <x v="0"/>
    <m/>
  </r>
  <r>
    <n v="2"/>
    <n v="10"/>
    <x v="2"/>
    <x v="0"/>
    <s v="Slant"/>
    <m/>
    <x v="0"/>
    <m/>
  </r>
  <r>
    <n v="3"/>
    <n v="10"/>
    <x v="2"/>
    <x v="0"/>
    <s v="Quick Screen Left"/>
    <n v="4"/>
    <x v="8"/>
    <m/>
  </r>
  <r>
    <n v="1"/>
    <n v="10"/>
    <x v="2"/>
    <x v="0"/>
    <s v="Quick Screen Left"/>
    <n v="8"/>
    <x v="0"/>
    <m/>
  </r>
  <r>
    <n v="2"/>
    <n v="10"/>
    <x v="4"/>
    <x v="0"/>
    <s v="Come Back"/>
    <m/>
    <x v="9"/>
    <m/>
  </r>
  <r>
    <n v="1"/>
    <n v="10"/>
    <x v="0"/>
    <x v="2"/>
    <s v="Lead"/>
    <n v="50"/>
    <x v="3"/>
    <m/>
  </r>
  <r>
    <n v="2"/>
    <n v="12"/>
    <x v="2"/>
    <x v="2"/>
    <m/>
    <m/>
    <x v="7"/>
    <m/>
  </r>
  <r>
    <n v="3"/>
    <n v="13"/>
    <x v="2"/>
    <x v="0"/>
    <s v="Corner"/>
    <m/>
    <x v="0"/>
    <m/>
  </r>
  <r>
    <n v="4"/>
    <n v="13"/>
    <x v="3"/>
    <x v="1"/>
    <s v="Punt"/>
    <m/>
    <x v="2"/>
    <m/>
  </r>
  <r>
    <n v="1"/>
    <n v="10"/>
    <x v="1"/>
    <x v="0"/>
    <m/>
    <n v="6"/>
    <x v="2"/>
    <s v="Pick"/>
  </r>
  <r>
    <n v="1"/>
    <n v="10"/>
    <x v="4"/>
    <x v="0"/>
    <s v="Bubble Right"/>
    <n v="20"/>
    <x v="3"/>
    <m/>
  </r>
  <r>
    <n v="2"/>
    <n v="8"/>
    <x v="7"/>
    <x v="0"/>
    <s v="Go"/>
    <m/>
    <x v="0"/>
    <m/>
  </r>
  <r>
    <n v="3"/>
    <n v="13"/>
    <x v="2"/>
    <x v="0"/>
    <s v="Pick Pass"/>
    <n v="13"/>
    <x v="0"/>
    <m/>
  </r>
  <r>
    <n v="4"/>
    <n v="13"/>
    <x v="3"/>
    <x v="1"/>
    <s v="Punt"/>
    <m/>
    <x v="2"/>
    <m/>
  </r>
  <r>
    <n v="1"/>
    <n v="10"/>
    <x v="2"/>
    <x v="2"/>
    <s v="Lead"/>
    <m/>
    <x v="10"/>
    <m/>
  </r>
  <r>
    <n v="2"/>
    <n v="5"/>
    <x v="1"/>
    <x v="2"/>
    <s v="Dive"/>
    <n v="13"/>
    <x v="11"/>
    <m/>
  </r>
  <r>
    <n v="3"/>
    <n v="2"/>
    <x v="2"/>
    <x v="0"/>
    <s v="Pick Pass"/>
    <n v="20"/>
    <x v="12"/>
    <m/>
  </r>
  <r>
    <n v="1"/>
    <n v="10"/>
    <x v="6"/>
    <x v="0"/>
    <s v="Go"/>
    <m/>
    <x v="0"/>
    <m/>
  </r>
  <r>
    <n v="1"/>
    <n v="10"/>
    <x v="8"/>
    <x v="0"/>
    <s v="Bubble Right"/>
    <n v="21"/>
    <x v="1"/>
    <m/>
  </r>
  <r>
    <n v="2"/>
    <n v="12"/>
    <x v="5"/>
    <x v="0"/>
    <s v="Pick Pass"/>
    <n v="77"/>
    <x v="0"/>
    <m/>
  </r>
  <r>
    <n v="3"/>
    <n v="12"/>
    <x v="5"/>
    <x v="0"/>
    <s v="Come Back"/>
    <n v="4"/>
    <x v="13"/>
    <m/>
  </r>
  <r>
    <n v="1"/>
    <n v="10"/>
    <x v="0"/>
    <x v="2"/>
    <s v="Lead"/>
    <m/>
    <x v="0"/>
    <m/>
  </r>
  <r>
    <n v="2"/>
    <n v="10"/>
    <x v="5"/>
    <x v="0"/>
    <s v="Quick Screen Right"/>
    <n v="4"/>
    <x v="14"/>
    <m/>
  </r>
  <r>
    <n v="3"/>
    <n v="2"/>
    <x v="1"/>
    <x v="2"/>
    <s v="Dive"/>
    <n v="13"/>
    <x v="7"/>
    <m/>
  </r>
  <r>
    <n v="4"/>
    <n v="3"/>
    <x v="5"/>
    <x v="0"/>
    <s v="Corner"/>
    <m/>
    <x v="0"/>
    <m/>
  </r>
  <r>
    <n v="1"/>
    <n v="10"/>
    <x v="4"/>
    <x v="0"/>
    <s v="Come Back"/>
    <n v="2"/>
    <x v="15"/>
    <m/>
  </r>
  <r>
    <n v="1"/>
    <n v="10"/>
    <x v="0"/>
    <x v="2"/>
    <s v="Lead"/>
    <m/>
    <x v="11"/>
    <m/>
  </r>
  <r>
    <n v="2"/>
    <n v="7"/>
    <x v="5"/>
    <x v="0"/>
    <s v="Go"/>
    <n v="2"/>
    <x v="0"/>
    <m/>
  </r>
  <r>
    <n v="3"/>
    <n v="7"/>
    <x v="0"/>
    <x v="0"/>
    <s v="Slant"/>
    <m/>
    <x v="0"/>
    <m/>
  </r>
  <r>
    <n v="4"/>
    <n v="7"/>
    <x v="0"/>
    <x v="2"/>
    <m/>
    <m/>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n v="10"/>
    <x v="0"/>
    <x v="0"/>
    <s v="Curl"/>
    <m/>
    <n v="0"/>
    <m/>
  </r>
  <r>
    <n v="2"/>
    <n v="10"/>
    <x v="1"/>
    <x v="0"/>
    <s v="Quick Screen Right"/>
    <m/>
    <n v="-2"/>
    <m/>
  </r>
  <r>
    <n v="3"/>
    <n v="12"/>
    <x v="2"/>
    <x v="0"/>
    <s v="Pick Pass"/>
    <m/>
    <n v="-2"/>
    <m/>
  </r>
  <r>
    <n v="4"/>
    <n v="14"/>
    <x v="3"/>
    <x v="1"/>
    <s v="Punt"/>
    <m/>
    <m/>
    <m/>
  </r>
  <r>
    <n v="1"/>
    <n v="10"/>
    <x v="2"/>
    <x v="2"/>
    <s v="Lead"/>
    <n v="13"/>
    <n v="2"/>
    <m/>
  </r>
  <r>
    <n v="2"/>
    <n v="8"/>
    <x v="2"/>
    <x v="2"/>
    <s v="Lead"/>
    <n v="13"/>
    <n v="0"/>
    <m/>
  </r>
  <r>
    <n v="3"/>
    <n v="8"/>
    <x v="4"/>
    <x v="0"/>
    <s v="Quick Screen Right"/>
    <n v="28"/>
    <n v="7"/>
    <m/>
  </r>
  <r>
    <n v="4"/>
    <n v="1"/>
    <x v="2"/>
    <x v="2"/>
    <s v="Dive"/>
    <m/>
    <n v="-2"/>
    <m/>
  </r>
  <r>
    <n v="1"/>
    <n v="20"/>
    <x v="1"/>
    <x v="0"/>
    <s v="Quick Screen Right"/>
    <m/>
    <n v="0"/>
    <m/>
  </r>
  <r>
    <n v="2"/>
    <n v="20"/>
    <x v="5"/>
    <x v="0"/>
    <s v="Curl"/>
    <n v="13"/>
    <n v="0"/>
    <m/>
  </r>
  <r>
    <n v="3"/>
    <n v="20"/>
    <x v="5"/>
    <x v="0"/>
    <s v="Wheel"/>
    <m/>
    <n v="23"/>
    <m/>
  </r>
  <r>
    <n v="1"/>
    <n v="10"/>
    <x v="5"/>
    <x v="0"/>
    <s v="Quick Screen Right"/>
    <m/>
    <s v="`0"/>
    <m/>
  </r>
  <r>
    <n v="2"/>
    <n v="10"/>
    <x v="6"/>
    <x v="2"/>
    <s v="Lead Right"/>
    <m/>
    <n v="-1"/>
    <m/>
  </r>
  <r>
    <n v="3"/>
    <n v="1"/>
    <x v="4"/>
    <x v="0"/>
    <s v="Curl"/>
    <n v="15"/>
    <n v="0"/>
    <m/>
  </r>
  <r>
    <n v="4"/>
    <n v="1"/>
    <x v="3"/>
    <x v="1"/>
    <s v="Punt"/>
    <m/>
    <n v="0"/>
    <m/>
  </r>
  <r>
    <n v="1"/>
    <n v="10"/>
    <x v="0"/>
    <x v="0"/>
    <s v="Out"/>
    <m/>
    <n v="0"/>
    <m/>
  </r>
  <r>
    <n v="2"/>
    <n v="10"/>
    <x v="2"/>
    <x v="0"/>
    <s v="Slant"/>
    <m/>
    <n v="0"/>
    <m/>
  </r>
  <r>
    <n v="3"/>
    <n v="10"/>
    <x v="2"/>
    <x v="0"/>
    <s v="Quick Screen Left"/>
    <n v="4"/>
    <n v="20"/>
    <m/>
  </r>
  <r>
    <n v="1"/>
    <n v="10"/>
    <x v="2"/>
    <x v="0"/>
    <s v="Quick Screen Left"/>
    <n v="8"/>
    <n v="0"/>
    <m/>
  </r>
  <r>
    <n v="2"/>
    <n v="10"/>
    <x v="4"/>
    <x v="0"/>
    <s v="Come Back"/>
    <m/>
    <n v="12"/>
    <m/>
  </r>
  <r>
    <n v="1"/>
    <n v="10"/>
    <x v="0"/>
    <x v="2"/>
    <s v="Lead"/>
    <n v="50"/>
    <n v="2"/>
    <m/>
  </r>
  <r>
    <n v="2"/>
    <n v="12"/>
    <x v="2"/>
    <x v="2"/>
    <m/>
    <m/>
    <n v="-1"/>
    <m/>
  </r>
  <r>
    <n v="3"/>
    <n v="13"/>
    <x v="2"/>
    <x v="0"/>
    <s v="Corner"/>
    <m/>
    <n v="0"/>
    <m/>
  </r>
  <r>
    <n v="4"/>
    <n v="13"/>
    <x v="3"/>
    <x v="1"/>
    <s v="Punt"/>
    <m/>
    <m/>
    <m/>
  </r>
  <r>
    <n v="1"/>
    <n v="10"/>
    <x v="1"/>
    <x v="0"/>
    <m/>
    <n v="6"/>
    <n v="0"/>
    <s v="Pick"/>
  </r>
  <r>
    <n v="1"/>
    <n v="10"/>
    <x v="4"/>
    <x v="0"/>
    <s v="Bubble Right"/>
    <n v="20"/>
    <n v="2"/>
    <m/>
  </r>
  <r>
    <n v="2"/>
    <n v="8"/>
    <x v="7"/>
    <x v="0"/>
    <s v="Go"/>
    <m/>
    <n v="0"/>
    <m/>
  </r>
  <r>
    <n v="3"/>
    <n v="13"/>
    <x v="2"/>
    <x v="0"/>
    <s v="Pick Pass"/>
    <n v="13"/>
    <n v="0"/>
    <m/>
  </r>
  <r>
    <n v="4"/>
    <n v="13"/>
    <x v="3"/>
    <x v="1"/>
    <s v="Punt"/>
    <m/>
    <m/>
    <m/>
  </r>
  <r>
    <n v="1"/>
    <n v="10"/>
    <x v="2"/>
    <x v="2"/>
    <s v="Lead"/>
    <m/>
    <n v="5"/>
    <m/>
  </r>
  <r>
    <n v="2"/>
    <n v="5"/>
    <x v="1"/>
    <x v="2"/>
    <s v="Dive"/>
    <n v="13"/>
    <n v="3"/>
    <m/>
  </r>
  <r>
    <n v="3"/>
    <n v="2"/>
    <x v="2"/>
    <x v="0"/>
    <s v="Pick Pass"/>
    <n v="20"/>
    <n v="4"/>
    <m/>
  </r>
  <r>
    <n v="1"/>
    <n v="10"/>
    <x v="6"/>
    <x v="0"/>
    <s v="Go"/>
    <m/>
    <n v="0"/>
    <m/>
  </r>
  <r>
    <n v="1"/>
    <n v="10"/>
    <x v="8"/>
    <x v="0"/>
    <s v="Bubble Right"/>
    <n v="21"/>
    <n v="-2"/>
    <m/>
  </r>
  <r>
    <n v="2"/>
    <n v="12"/>
    <x v="5"/>
    <x v="0"/>
    <s v="Pick Pass"/>
    <n v="77"/>
    <n v="0"/>
    <m/>
  </r>
  <r>
    <n v="3"/>
    <n v="12"/>
    <x v="5"/>
    <x v="0"/>
    <s v="Come Back"/>
    <n v="4"/>
    <n v="14"/>
    <m/>
  </r>
  <r>
    <n v="1"/>
    <n v="10"/>
    <x v="0"/>
    <x v="2"/>
    <s v="Lead"/>
    <m/>
    <n v="0"/>
    <m/>
  </r>
  <r>
    <n v="2"/>
    <n v="10"/>
    <x v="5"/>
    <x v="0"/>
    <s v="Quick Screen Right"/>
    <n v="4"/>
    <n v="8"/>
    <m/>
  </r>
  <r>
    <n v="3"/>
    <n v="2"/>
    <x v="1"/>
    <x v="2"/>
    <s v="Dive"/>
    <n v="13"/>
    <n v="-1"/>
    <m/>
  </r>
  <r>
    <n v="4"/>
    <n v="3"/>
    <x v="5"/>
    <x v="0"/>
    <s v="Corner"/>
    <m/>
    <n v="0"/>
    <m/>
  </r>
  <r>
    <n v="1"/>
    <n v="10"/>
    <x v="4"/>
    <x v="0"/>
    <s v="Come Back"/>
    <n v="2"/>
    <n v="18"/>
    <m/>
  </r>
  <r>
    <n v="1"/>
    <n v="10"/>
    <x v="0"/>
    <x v="2"/>
    <s v="Lead"/>
    <m/>
    <n v="3"/>
    <m/>
  </r>
  <r>
    <n v="2"/>
    <n v="7"/>
    <x v="5"/>
    <x v="0"/>
    <s v="Go"/>
    <n v="2"/>
    <n v="0"/>
    <m/>
  </r>
  <r>
    <n v="3"/>
    <n v="7"/>
    <x v="0"/>
    <x v="0"/>
    <s v="Slant"/>
    <m/>
    <n v="0"/>
    <m/>
  </r>
  <r>
    <n v="4"/>
    <n v="7"/>
    <x v="0"/>
    <x v="2"/>
    <m/>
    <m/>
    <n v="0"/>
    <m/>
  </r>
  <r>
    <m/>
    <m/>
    <x v="3"/>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25E87-F4ED-4D73-9CC1-99952AB229B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8">
    <pivotField showAll="0"/>
    <pivotField showAll="0"/>
    <pivotField showAll="0"/>
    <pivotField axis="axisRow" showAll="0">
      <items count="4">
        <item x="0"/>
        <item x="2"/>
        <item h="1" x="1"/>
        <item t="default"/>
      </items>
    </pivotField>
    <pivotField showAll="0"/>
    <pivotField showAll="0"/>
    <pivotField dataField="1" showAll="0"/>
    <pivotField showAll="0"/>
  </pivotFields>
  <rowFields count="1">
    <field x="3"/>
  </rowFields>
  <rowItems count="3">
    <i>
      <x/>
    </i>
    <i>
      <x v="1"/>
    </i>
    <i t="grand">
      <x/>
    </i>
  </rowItems>
  <colFields count="1">
    <field x="-2"/>
  </colFields>
  <colItems count="2">
    <i>
      <x/>
    </i>
    <i i="1">
      <x v="1"/>
    </i>
  </colItems>
  <dataFields count="2">
    <dataField name="Count of yard +/-" fld="6" subtotal="count" baseField="0" baseItem="0"/>
    <dataField name="Sum of yard +/-2"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77308-5046-4D7C-8977-A3A44A83B1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pivotFields count="8">
    <pivotField showAll="0"/>
    <pivotField showAll="0"/>
    <pivotField axis="axisRow" showAll="0">
      <items count="10">
        <item x="2"/>
        <item x="1"/>
        <item x="7"/>
        <item x="8"/>
        <item x="5"/>
        <item x="6"/>
        <item x="0"/>
        <item x="4"/>
        <item h="1" x="3"/>
        <item t="default"/>
      </items>
    </pivotField>
    <pivotField showAll="0"/>
    <pivotField showAll="0"/>
    <pivotField showAll="0"/>
    <pivotField dataField="1"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Count of yard +/-" fld="6" subtotal="count" baseField="0" baseItem="0"/>
    <dataField name="Sum of yard +/-2" fld="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6AA01A-490D-4797-9BDF-EE8711558A1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 firstHeaderRow="0" firstDataRow="1" firstDataCol="1"/>
  <pivotFields count="8">
    <pivotField showAll="0"/>
    <pivotField showAll="0"/>
    <pivotField axis="axisRow" showAll="0">
      <items count="10">
        <item x="2"/>
        <item x="1"/>
        <item x="7"/>
        <item x="8"/>
        <item x="5"/>
        <item x="6"/>
        <item x="0"/>
        <item x="4"/>
        <item x="3"/>
        <item t="default"/>
      </items>
    </pivotField>
    <pivotField axis="axisRow" showAll="0">
      <items count="4">
        <item x="0"/>
        <item x="2"/>
        <item h="1" x="1"/>
        <item t="default"/>
      </items>
    </pivotField>
    <pivotField showAll="0"/>
    <pivotField showAll="0"/>
    <pivotField dataField="1" showAll="0">
      <items count="17">
        <item x="1"/>
        <item x="7"/>
        <item x="0"/>
        <item x="3"/>
        <item x="11"/>
        <item x="12"/>
        <item x="10"/>
        <item x="4"/>
        <item x="14"/>
        <item x="9"/>
        <item x="13"/>
        <item x="15"/>
        <item x="8"/>
        <item x="5"/>
        <item x="6"/>
        <item x="2"/>
        <item t="default"/>
      </items>
    </pivotField>
    <pivotField showAll="0"/>
  </pivotFields>
  <rowFields count="2">
    <field x="3"/>
    <field x="2"/>
  </rowFields>
  <rowItems count="15">
    <i>
      <x/>
    </i>
    <i r="1">
      <x/>
    </i>
    <i r="1">
      <x v="1"/>
    </i>
    <i r="1">
      <x v="2"/>
    </i>
    <i r="1">
      <x v="3"/>
    </i>
    <i r="1">
      <x v="4"/>
    </i>
    <i r="1">
      <x v="5"/>
    </i>
    <i r="1">
      <x v="6"/>
    </i>
    <i r="1">
      <x v="7"/>
    </i>
    <i>
      <x v="1"/>
    </i>
    <i r="1">
      <x/>
    </i>
    <i r="1">
      <x v="1"/>
    </i>
    <i r="1">
      <x v="5"/>
    </i>
    <i r="1">
      <x v="6"/>
    </i>
    <i t="grand">
      <x/>
    </i>
  </rowItems>
  <colFields count="1">
    <field x="-2"/>
  </colFields>
  <colItems count="2">
    <i>
      <x/>
    </i>
    <i i="1">
      <x v="1"/>
    </i>
  </colItems>
  <dataFields count="2">
    <dataField name="Count of yard +/-" fld="6" subtotal="count" baseField="0" baseItem="0"/>
    <dataField name="Sum of yard +/-2"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81DE89-036F-425D-BE62-EBFD9802AEDD}" name="Table6" displayName="Table6" ref="A1:H46" totalsRowShown="0">
  <autoFilter ref="A1:H46" xr:uid="{7381DE89-036F-425D-BE62-EBFD9802AEDD}"/>
  <tableColumns count="8">
    <tableColumn id="1" xr3:uid="{DFC9907A-68F0-448C-BA7D-DD1697B65697}" name="down">
      <calculatedColumnFormula>IF(G1&gt;=B1, 1, A1+1)</calculatedColumnFormula>
    </tableColumn>
    <tableColumn id="2" xr3:uid="{9A118837-26C8-4114-9930-1D779BE13A49}" name="ytg">
      <calculatedColumnFormula>IF(G1&gt;=B1, 10, B1-G1)</calculatedColumnFormula>
    </tableColumn>
    <tableColumn id="3" xr3:uid="{6DAD555D-497E-4640-A29C-92AB4EB914BE}" name="formation"/>
    <tableColumn id="9" xr3:uid="{8518901D-C3F4-4EEE-8719-49EFC24E2570}" name="Run/Pass"/>
    <tableColumn id="4" xr3:uid="{96817BC8-5840-4252-996A-AA59063CDA76}" name="play"/>
    <tableColumn id="5" xr3:uid="{3E865B19-B7D1-4ADC-B4B8-F2045CCD4436}" name="play maker"/>
    <tableColumn id="6" xr3:uid="{49DB1C6D-0658-45C9-846D-A1B64C9F0416}" name="yard +/-"/>
    <tableColumn id="7" xr3:uid="{DBA3F0B3-C98C-4A18-BA17-4A92C71A1E89}" name="T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798C-2BB8-4D40-9A87-437308F16543}">
  <dimension ref="A1:H46"/>
  <sheetViews>
    <sheetView tabSelected="1" workbookViewId="0">
      <selection activeCell="B3" sqref="B3"/>
    </sheetView>
  </sheetViews>
  <sheetFormatPr defaultRowHeight="15" x14ac:dyDescent="0.25"/>
  <cols>
    <col min="1" max="2" width="14.85546875" customWidth="1"/>
    <col min="3" max="4" width="20.140625" customWidth="1"/>
    <col min="5" max="5" width="18" customWidth="1"/>
    <col min="6" max="6" width="13.140625" customWidth="1"/>
    <col min="7" max="7" width="14" customWidth="1"/>
  </cols>
  <sheetData>
    <row r="1" spans="1:8" x14ac:dyDescent="0.25">
      <c r="A1" t="s">
        <v>1</v>
      </c>
      <c r="B1" t="s">
        <v>4</v>
      </c>
      <c r="C1" t="s">
        <v>0</v>
      </c>
      <c r="D1" t="s">
        <v>14</v>
      </c>
      <c r="E1" t="s">
        <v>2</v>
      </c>
      <c r="F1" t="s">
        <v>3</v>
      </c>
      <c r="G1" t="s">
        <v>5</v>
      </c>
      <c r="H1" t="s">
        <v>13</v>
      </c>
    </row>
    <row r="2" spans="1:8" x14ac:dyDescent="0.25">
      <c r="A2">
        <v>1</v>
      </c>
      <c r="B2">
        <v>10</v>
      </c>
      <c r="C2" t="s">
        <v>20</v>
      </c>
      <c r="D2" t="s">
        <v>16</v>
      </c>
      <c r="E2" t="s">
        <v>21</v>
      </c>
      <c r="G2">
        <v>0</v>
      </c>
    </row>
    <row r="3" spans="1:8" x14ac:dyDescent="0.25">
      <c r="A3">
        <f t="shared" ref="A3" si="0">IF(G2&gt;=B2, 1, A2+1)</f>
        <v>2</v>
      </c>
      <c r="B3">
        <f>IF(G2&gt;=B2, 10, B2-G2)</f>
        <v>10</v>
      </c>
      <c r="C3" t="s">
        <v>8</v>
      </c>
      <c r="D3" t="s">
        <v>16</v>
      </c>
      <c r="E3" t="s">
        <v>22</v>
      </c>
      <c r="G3">
        <v>-2</v>
      </c>
    </row>
    <row r="4" spans="1:8" x14ac:dyDescent="0.25">
      <c r="A4">
        <f>IF(G3&gt;=B3, 1, A3+1)</f>
        <v>3</v>
      </c>
      <c r="B4">
        <f>IF(G3&gt;=B3, 10, B3-G3)</f>
        <v>12</v>
      </c>
      <c r="C4" t="s">
        <v>6</v>
      </c>
      <c r="D4" t="s">
        <v>16</v>
      </c>
      <c r="E4" t="s">
        <v>23</v>
      </c>
      <c r="G4">
        <v>-2</v>
      </c>
    </row>
    <row r="5" spans="1:8" x14ac:dyDescent="0.25">
      <c r="A5">
        <f>IF(G4&gt;=B4, 1, A4+1)</f>
        <v>4</v>
      </c>
      <c r="B5">
        <f>IF(G4&gt;=B4, 10, B4-G4)</f>
        <v>14</v>
      </c>
      <c r="E5" t="s">
        <v>28</v>
      </c>
    </row>
    <row r="6" spans="1:8" x14ac:dyDescent="0.25">
      <c r="A6">
        <v>1</v>
      </c>
      <c r="B6">
        <v>10</v>
      </c>
      <c r="C6" t="s">
        <v>6</v>
      </c>
      <c r="D6" t="s">
        <v>15</v>
      </c>
      <c r="E6" t="s">
        <v>24</v>
      </c>
      <c r="F6">
        <v>13</v>
      </c>
      <c r="G6">
        <v>2</v>
      </c>
    </row>
    <row r="7" spans="1:8" x14ac:dyDescent="0.25">
      <c r="A7">
        <f>IF(G6&gt;=B6, 1, A6+1)</f>
        <v>2</v>
      </c>
      <c r="B7">
        <f>IF(G6&gt;=B6, 10, B6-G6)</f>
        <v>8</v>
      </c>
      <c r="C7" t="s">
        <v>6</v>
      </c>
      <c r="D7" t="s">
        <v>15</v>
      </c>
      <c r="E7" t="s">
        <v>24</v>
      </c>
      <c r="F7">
        <v>13</v>
      </c>
      <c r="G7">
        <v>0</v>
      </c>
    </row>
    <row r="8" spans="1:8" x14ac:dyDescent="0.25">
      <c r="A8">
        <f>IF(G7&gt;=B7, 1, A7+1)</f>
        <v>3</v>
      </c>
      <c r="B8">
        <f>IF(G7&gt;=B7, 10, B7-G7)</f>
        <v>8</v>
      </c>
      <c r="C8" t="s">
        <v>25</v>
      </c>
      <c r="D8" t="s">
        <v>16</v>
      </c>
      <c r="E8" t="s">
        <v>22</v>
      </c>
      <c r="F8">
        <v>28</v>
      </c>
      <c r="G8">
        <v>7</v>
      </c>
    </row>
    <row r="9" spans="1:8" x14ac:dyDescent="0.25">
      <c r="A9">
        <f>IF(G8&gt;=B8, 1, A8+1)</f>
        <v>4</v>
      </c>
      <c r="B9">
        <f>IF(G8&gt;=B8, 10, B8-G8)</f>
        <v>1</v>
      </c>
      <c r="C9" t="s">
        <v>6</v>
      </c>
      <c r="D9" t="s">
        <v>15</v>
      </c>
      <c r="E9" t="s">
        <v>26</v>
      </c>
      <c r="G9">
        <v>-2</v>
      </c>
    </row>
    <row r="10" spans="1:8" x14ac:dyDescent="0.25">
      <c r="A10">
        <v>1</v>
      </c>
      <c r="B10">
        <v>20</v>
      </c>
      <c r="C10" t="s">
        <v>8</v>
      </c>
      <c r="D10" t="s">
        <v>16</v>
      </c>
      <c r="E10" t="s">
        <v>22</v>
      </c>
      <c r="G10">
        <v>0</v>
      </c>
    </row>
    <row r="11" spans="1:8" x14ac:dyDescent="0.25">
      <c r="A11">
        <f>IF(G10&gt;=B10, 1, A10+1)</f>
        <v>2</v>
      </c>
      <c r="B11">
        <f>IF(G10&gt;=B10, 10, B10-G10)</f>
        <v>20</v>
      </c>
      <c r="C11" t="s">
        <v>11</v>
      </c>
      <c r="D11" t="s">
        <v>16</v>
      </c>
      <c r="E11" t="s">
        <v>21</v>
      </c>
      <c r="F11">
        <v>13</v>
      </c>
      <c r="G11">
        <v>0</v>
      </c>
    </row>
    <row r="12" spans="1:8" x14ac:dyDescent="0.25">
      <c r="A12">
        <f>IF(G11&gt;=B11, 1, A11+1)</f>
        <v>3</v>
      </c>
      <c r="B12">
        <f>IF(G11&gt;=B11, 10, B11-G11)</f>
        <v>20</v>
      </c>
      <c r="C12" t="s">
        <v>11</v>
      </c>
      <c r="D12" t="s">
        <v>16</v>
      </c>
      <c r="E12" t="s">
        <v>27</v>
      </c>
      <c r="G12">
        <v>23</v>
      </c>
    </row>
    <row r="13" spans="1:8" x14ac:dyDescent="0.25">
      <c r="A13">
        <v>1</v>
      </c>
      <c r="B13">
        <f>IF(G12&gt;=B12, 10, B12-G12)</f>
        <v>10</v>
      </c>
      <c r="C13" t="s">
        <v>11</v>
      </c>
      <c r="D13" t="s">
        <v>16</v>
      </c>
      <c r="E13" t="s">
        <v>22</v>
      </c>
      <c r="G13" t="s">
        <v>35</v>
      </c>
    </row>
    <row r="14" spans="1:8" x14ac:dyDescent="0.25">
      <c r="A14">
        <v>2</v>
      </c>
      <c r="B14">
        <f>IF(G13&gt;=B13, 10, B13-G13)</f>
        <v>10</v>
      </c>
      <c r="C14" t="s">
        <v>38</v>
      </c>
      <c r="D14" t="s">
        <v>15</v>
      </c>
      <c r="E14" t="s">
        <v>7</v>
      </c>
      <c r="G14">
        <v>-1</v>
      </c>
    </row>
    <row r="15" spans="1:8" x14ac:dyDescent="0.25">
      <c r="A15">
        <v>3</v>
      </c>
      <c r="B15">
        <v>1</v>
      </c>
      <c r="C15" t="s">
        <v>25</v>
      </c>
      <c r="D15" t="s">
        <v>16</v>
      </c>
      <c r="E15" t="s">
        <v>21</v>
      </c>
      <c r="F15">
        <v>15</v>
      </c>
      <c r="G15">
        <v>0</v>
      </c>
    </row>
    <row r="16" spans="1:8" x14ac:dyDescent="0.25">
      <c r="A16">
        <f>IF(G15&gt;=B15, 1, A15+1)</f>
        <v>4</v>
      </c>
      <c r="B16">
        <f>IF(G15&gt;=B15, 10, B15-G15)</f>
        <v>1</v>
      </c>
      <c r="E16" t="s">
        <v>28</v>
      </c>
      <c r="G16">
        <v>0</v>
      </c>
    </row>
    <row r="17" spans="1:8" x14ac:dyDescent="0.25">
      <c r="A17">
        <v>1</v>
      </c>
      <c r="B17">
        <v>10</v>
      </c>
      <c r="C17" t="s">
        <v>20</v>
      </c>
      <c r="D17" t="s">
        <v>16</v>
      </c>
      <c r="E17" t="s">
        <v>29</v>
      </c>
      <c r="G17">
        <v>0</v>
      </c>
    </row>
    <row r="18" spans="1:8" x14ac:dyDescent="0.25">
      <c r="A18">
        <f t="shared" ref="A18:A25" si="1">IF(G17&gt;=B17, 1, A17+1)</f>
        <v>2</v>
      </c>
      <c r="B18">
        <f>IF(G17&gt;=B17, 10, B17-G17)</f>
        <v>10</v>
      </c>
      <c r="C18" t="s">
        <v>6</v>
      </c>
      <c r="D18" t="s">
        <v>16</v>
      </c>
      <c r="E18" t="s">
        <v>12</v>
      </c>
      <c r="G18">
        <v>0</v>
      </c>
    </row>
    <row r="19" spans="1:8" x14ac:dyDescent="0.25">
      <c r="A19">
        <f t="shared" si="1"/>
        <v>3</v>
      </c>
      <c r="B19">
        <f>IF(G18&gt;=B18, 10, B18-G18)</f>
        <v>10</v>
      </c>
      <c r="C19" t="s">
        <v>6</v>
      </c>
      <c r="D19" t="s">
        <v>16</v>
      </c>
      <c r="E19" t="s">
        <v>10</v>
      </c>
      <c r="F19">
        <v>4</v>
      </c>
      <c r="G19">
        <v>20</v>
      </c>
    </row>
    <row r="20" spans="1:8" x14ac:dyDescent="0.25">
      <c r="A20">
        <f t="shared" si="1"/>
        <v>1</v>
      </c>
      <c r="B20">
        <f>IF(G19&gt;=B19, 10, B19-G19)</f>
        <v>10</v>
      </c>
      <c r="C20" t="s">
        <v>6</v>
      </c>
      <c r="D20" t="s">
        <v>16</v>
      </c>
      <c r="E20" t="s">
        <v>10</v>
      </c>
      <c r="F20">
        <v>8</v>
      </c>
      <c r="G20">
        <v>0</v>
      </c>
    </row>
    <row r="21" spans="1:8" x14ac:dyDescent="0.25">
      <c r="A21">
        <f t="shared" si="1"/>
        <v>2</v>
      </c>
      <c r="B21">
        <f>IF(G20&gt;=B20, 10, B20-G20)</f>
        <v>10</v>
      </c>
      <c r="C21" t="s">
        <v>25</v>
      </c>
      <c r="D21" t="s">
        <v>16</v>
      </c>
      <c r="E21" t="s">
        <v>31</v>
      </c>
      <c r="G21">
        <v>12</v>
      </c>
    </row>
    <row r="22" spans="1:8" x14ac:dyDescent="0.25">
      <c r="A22">
        <f t="shared" si="1"/>
        <v>1</v>
      </c>
      <c r="B22">
        <f>IF(G21&gt;=B21, 10, B21-G21)</f>
        <v>10</v>
      </c>
      <c r="C22" t="s">
        <v>20</v>
      </c>
      <c r="D22" t="s">
        <v>15</v>
      </c>
      <c r="E22" t="s">
        <v>24</v>
      </c>
      <c r="F22">
        <v>50</v>
      </c>
      <c r="G22">
        <v>2</v>
      </c>
    </row>
    <row r="23" spans="1:8" x14ac:dyDescent="0.25">
      <c r="A23">
        <f t="shared" si="1"/>
        <v>2</v>
      </c>
      <c r="B23">
        <v>12</v>
      </c>
      <c r="C23" t="s">
        <v>6</v>
      </c>
      <c r="D23" t="s">
        <v>15</v>
      </c>
      <c r="G23">
        <v>-1</v>
      </c>
    </row>
    <row r="24" spans="1:8" x14ac:dyDescent="0.25">
      <c r="A24">
        <f t="shared" si="1"/>
        <v>3</v>
      </c>
      <c r="B24">
        <f>IF(G23&gt;=B23, 10, B23-G23)</f>
        <v>13</v>
      </c>
      <c r="C24" t="s">
        <v>6</v>
      </c>
      <c r="D24" t="s">
        <v>16</v>
      </c>
      <c r="E24" t="s">
        <v>30</v>
      </c>
      <c r="G24">
        <v>0</v>
      </c>
    </row>
    <row r="25" spans="1:8" x14ac:dyDescent="0.25">
      <c r="A25">
        <f t="shared" si="1"/>
        <v>4</v>
      </c>
      <c r="B25">
        <f>IF(G24&gt;=B24, 10, B24-G24)</f>
        <v>13</v>
      </c>
      <c r="E25" t="s">
        <v>28</v>
      </c>
    </row>
    <row r="26" spans="1:8" x14ac:dyDescent="0.25">
      <c r="A26">
        <v>1</v>
      </c>
      <c r="B26">
        <v>10</v>
      </c>
      <c r="C26" t="s">
        <v>8</v>
      </c>
      <c r="D26" t="s">
        <v>16</v>
      </c>
      <c r="F26">
        <v>6</v>
      </c>
      <c r="G26">
        <v>0</v>
      </c>
      <c r="H26" t="s">
        <v>32</v>
      </c>
    </row>
    <row r="27" spans="1:8" x14ac:dyDescent="0.25">
      <c r="A27">
        <v>1</v>
      </c>
      <c r="B27">
        <f>IF(G26&gt;=B26, 10, B26-G26)</f>
        <v>10</v>
      </c>
      <c r="C27" t="s">
        <v>25</v>
      </c>
      <c r="D27" t="s">
        <v>16</v>
      </c>
      <c r="E27" t="s">
        <v>33</v>
      </c>
      <c r="F27">
        <v>20</v>
      </c>
      <c r="G27">
        <v>2</v>
      </c>
    </row>
    <row r="28" spans="1:8" x14ac:dyDescent="0.25">
      <c r="A28">
        <f>IF(G27&gt;=B27, 1, A27+1)</f>
        <v>2</v>
      </c>
      <c r="B28">
        <f>IF(G27&gt;=B27, 10, B27-G27)</f>
        <v>8</v>
      </c>
      <c r="C28" t="s">
        <v>9</v>
      </c>
      <c r="D28" t="s">
        <v>16</v>
      </c>
      <c r="E28" t="s">
        <v>34</v>
      </c>
      <c r="G28">
        <v>0</v>
      </c>
    </row>
    <row r="29" spans="1:8" x14ac:dyDescent="0.25">
      <c r="A29">
        <f>IF(G28&gt;=B28, 1, A28+1)</f>
        <v>3</v>
      </c>
      <c r="B29">
        <v>13</v>
      </c>
      <c r="C29" t="s">
        <v>6</v>
      </c>
      <c r="D29" t="s">
        <v>16</v>
      </c>
      <c r="E29" t="s">
        <v>23</v>
      </c>
      <c r="F29">
        <v>13</v>
      </c>
      <c r="G29">
        <v>0</v>
      </c>
    </row>
    <row r="30" spans="1:8" x14ac:dyDescent="0.25">
      <c r="A30">
        <f>IF(G29&gt;=B29, 1, A29+1)</f>
        <v>4</v>
      </c>
      <c r="B30">
        <f>IF(G29&gt;=B29, 10, B29-G29)</f>
        <v>13</v>
      </c>
      <c r="E30" t="s">
        <v>28</v>
      </c>
    </row>
    <row r="31" spans="1:8" x14ac:dyDescent="0.25">
      <c r="A31">
        <v>1</v>
      </c>
      <c r="B31">
        <v>10</v>
      </c>
      <c r="C31" t="s">
        <v>6</v>
      </c>
      <c r="D31" t="s">
        <v>15</v>
      </c>
      <c r="E31" t="s">
        <v>24</v>
      </c>
      <c r="G31">
        <v>5</v>
      </c>
    </row>
    <row r="32" spans="1:8" x14ac:dyDescent="0.25">
      <c r="A32">
        <f>IF(G31&gt;=B31, 1, A31+1)</f>
        <v>2</v>
      </c>
      <c r="B32">
        <f t="shared" ref="B32:B41" si="2">IF(G31&gt;=B31, 10, B31-G31)</f>
        <v>5</v>
      </c>
      <c r="C32" t="s">
        <v>8</v>
      </c>
      <c r="D32" t="s">
        <v>15</v>
      </c>
      <c r="E32" t="s">
        <v>26</v>
      </c>
      <c r="F32">
        <v>13</v>
      </c>
      <c r="G32">
        <v>3</v>
      </c>
    </row>
    <row r="33" spans="1:7" x14ac:dyDescent="0.25">
      <c r="A33">
        <f>IF(G32&gt;=B32, 1, A32+1)</f>
        <v>3</v>
      </c>
      <c r="B33">
        <f t="shared" si="2"/>
        <v>2</v>
      </c>
      <c r="C33" t="s">
        <v>6</v>
      </c>
      <c r="D33" t="s">
        <v>16</v>
      </c>
      <c r="E33" t="s">
        <v>23</v>
      </c>
      <c r="F33">
        <v>20</v>
      </c>
      <c r="G33">
        <v>4</v>
      </c>
    </row>
    <row r="34" spans="1:7" x14ac:dyDescent="0.25">
      <c r="A34">
        <f>IF(G33&gt;=B33, 1, A33+1)</f>
        <v>1</v>
      </c>
      <c r="B34">
        <f t="shared" si="2"/>
        <v>10</v>
      </c>
      <c r="C34" t="s">
        <v>38</v>
      </c>
      <c r="D34" t="s">
        <v>16</v>
      </c>
      <c r="E34" t="s">
        <v>34</v>
      </c>
      <c r="G34">
        <v>0</v>
      </c>
    </row>
    <row r="35" spans="1:7" x14ac:dyDescent="0.25">
      <c r="A35">
        <v>1</v>
      </c>
      <c r="B35">
        <f t="shared" si="2"/>
        <v>10</v>
      </c>
      <c r="C35" t="s">
        <v>37</v>
      </c>
      <c r="D35" t="s">
        <v>16</v>
      </c>
      <c r="E35" t="s">
        <v>33</v>
      </c>
      <c r="F35">
        <v>21</v>
      </c>
      <c r="G35">
        <v>-2</v>
      </c>
    </row>
    <row r="36" spans="1:7" x14ac:dyDescent="0.25">
      <c r="A36">
        <f t="shared" ref="A36:A41" si="3">IF(G35&gt;=B35, 1, A35+1)</f>
        <v>2</v>
      </c>
      <c r="B36">
        <f t="shared" si="2"/>
        <v>12</v>
      </c>
      <c r="C36" t="s">
        <v>11</v>
      </c>
      <c r="D36" t="s">
        <v>16</v>
      </c>
      <c r="E36" t="s">
        <v>23</v>
      </c>
      <c r="F36">
        <v>77</v>
      </c>
      <c r="G36">
        <v>0</v>
      </c>
    </row>
    <row r="37" spans="1:7" x14ac:dyDescent="0.25">
      <c r="A37">
        <f t="shared" si="3"/>
        <v>3</v>
      </c>
      <c r="B37">
        <f t="shared" si="2"/>
        <v>12</v>
      </c>
      <c r="C37" t="s">
        <v>11</v>
      </c>
      <c r="D37" t="s">
        <v>16</v>
      </c>
      <c r="E37" t="s">
        <v>31</v>
      </c>
      <c r="F37">
        <v>4</v>
      </c>
      <c r="G37">
        <v>14</v>
      </c>
    </row>
    <row r="38" spans="1:7" x14ac:dyDescent="0.25">
      <c r="A38">
        <f t="shared" si="3"/>
        <v>1</v>
      </c>
      <c r="B38">
        <f t="shared" si="2"/>
        <v>10</v>
      </c>
      <c r="C38" t="s">
        <v>20</v>
      </c>
      <c r="D38" t="s">
        <v>15</v>
      </c>
      <c r="E38" t="s">
        <v>24</v>
      </c>
      <c r="G38">
        <v>0</v>
      </c>
    </row>
    <row r="39" spans="1:7" x14ac:dyDescent="0.25">
      <c r="A39">
        <f t="shared" si="3"/>
        <v>2</v>
      </c>
      <c r="B39">
        <f t="shared" si="2"/>
        <v>10</v>
      </c>
      <c r="C39" t="s">
        <v>11</v>
      </c>
      <c r="D39" t="s">
        <v>16</v>
      </c>
      <c r="E39" t="s">
        <v>22</v>
      </c>
      <c r="F39">
        <v>4</v>
      </c>
      <c r="G39">
        <v>8</v>
      </c>
    </row>
    <row r="40" spans="1:7" x14ac:dyDescent="0.25">
      <c r="A40">
        <f t="shared" si="3"/>
        <v>3</v>
      </c>
      <c r="B40">
        <f t="shared" si="2"/>
        <v>2</v>
      </c>
      <c r="C40" t="s">
        <v>8</v>
      </c>
      <c r="D40" t="s">
        <v>15</v>
      </c>
      <c r="E40" t="s">
        <v>26</v>
      </c>
      <c r="F40">
        <v>13</v>
      </c>
      <c r="G40">
        <v>-1</v>
      </c>
    </row>
    <row r="41" spans="1:7" x14ac:dyDescent="0.25">
      <c r="A41">
        <f t="shared" si="3"/>
        <v>4</v>
      </c>
      <c r="B41">
        <f t="shared" si="2"/>
        <v>3</v>
      </c>
      <c r="C41" t="s">
        <v>11</v>
      </c>
      <c r="D41" t="s">
        <v>16</v>
      </c>
      <c r="E41" t="s">
        <v>30</v>
      </c>
      <c r="G41">
        <v>0</v>
      </c>
    </row>
    <row r="42" spans="1:7" x14ac:dyDescent="0.25">
      <c r="A42">
        <v>1</v>
      </c>
      <c r="B42">
        <v>10</v>
      </c>
      <c r="C42" t="s">
        <v>25</v>
      </c>
      <c r="D42" t="s">
        <v>16</v>
      </c>
      <c r="E42" t="s">
        <v>31</v>
      </c>
      <c r="F42">
        <v>2</v>
      </c>
      <c r="G42">
        <v>18</v>
      </c>
    </row>
    <row r="43" spans="1:7" x14ac:dyDescent="0.25">
      <c r="A43">
        <f>IF(G42&gt;=B42, 1, A42+1)</f>
        <v>1</v>
      </c>
      <c r="B43">
        <f>IF(G42&gt;=B42, 10, B42-G42)</f>
        <v>10</v>
      </c>
      <c r="C43" t="s">
        <v>20</v>
      </c>
      <c r="D43" t="s">
        <v>15</v>
      </c>
      <c r="E43" t="s">
        <v>24</v>
      </c>
      <c r="G43">
        <v>3</v>
      </c>
    </row>
    <row r="44" spans="1:7" x14ac:dyDescent="0.25">
      <c r="A44">
        <f>IF(G43&gt;=B43, 1, A43+1)</f>
        <v>2</v>
      </c>
      <c r="B44">
        <f>IF(G43&gt;=B43, 10, B43-G43)</f>
        <v>7</v>
      </c>
      <c r="C44" t="s">
        <v>11</v>
      </c>
      <c r="D44" t="s">
        <v>16</v>
      </c>
      <c r="E44" t="s">
        <v>34</v>
      </c>
      <c r="F44">
        <v>2</v>
      </c>
      <c r="G44">
        <v>0</v>
      </c>
    </row>
    <row r="45" spans="1:7" x14ac:dyDescent="0.25">
      <c r="A45">
        <f>IF(G44&gt;=B44, 1, A44+1)</f>
        <v>3</v>
      </c>
      <c r="B45">
        <f>IF(G44&gt;=B44, 10, B44-G44)</f>
        <v>7</v>
      </c>
      <c r="C45" t="s">
        <v>20</v>
      </c>
      <c r="D45" t="s">
        <v>16</v>
      </c>
      <c r="E45" t="s">
        <v>12</v>
      </c>
      <c r="G45">
        <v>0</v>
      </c>
    </row>
    <row r="46" spans="1:7" x14ac:dyDescent="0.25">
      <c r="A46">
        <f>IF(G45&gt;=B45, 1, A45+1)</f>
        <v>4</v>
      </c>
      <c r="B46">
        <f>IF(G45&gt;=B45, 10, B45-G45)</f>
        <v>7</v>
      </c>
      <c r="C46" t="s">
        <v>20</v>
      </c>
      <c r="D46" t="s">
        <v>15</v>
      </c>
      <c r="G46">
        <v>0</v>
      </c>
    </row>
  </sheetData>
  <dataValidations count="4">
    <dataValidation type="list" allowBlank="1" showInputMessage="1" showErrorMessage="1" sqref="C1:C13 C15:C33 C35:C1048576" xr:uid="{415820B2-2B2A-480D-B446-240E5BBD407A}">
      <formula1>"B Spread Wing Left, B Spread Wing Right, Trips Left, Trips Right, Spread Doubles, Quads Left Empty, Quads Right Empty"</formula1>
    </dataValidation>
    <dataValidation type="list" allowBlank="1" showInputMessage="1" showErrorMessage="1" sqref="E38:E41 E1:E36 E43:E1048576" xr:uid="{41193F93-4B30-46C6-994B-D081891B8938}">
      <formula1>"Punt, Dive, Lead, Stretch Left, Stretch Right, Toss Left, Toss Right, Trap Left, Trap Right, Quick Screen Left, Quick Screen Right, Slant, Curl, Out, Corner, Post, Go, Drag, Bubble Left, Bubble Right, Pick Pass"</formula1>
    </dataValidation>
    <dataValidation type="list" allowBlank="1" showInputMessage="1" showErrorMessage="1" sqref="D1:D1048576" xr:uid="{2098DB22-73D2-4878-A125-0B9648146D6D}">
      <formula1>"Run, Pass"</formula1>
    </dataValidation>
    <dataValidation type="list" allowBlank="1" showInputMessage="1" showErrorMessage="1" sqref="F1:F1048576" xr:uid="{4CB7239A-936F-4B2E-861C-6516658B721C}">
      <formula1>"trey R, trey L, spread doubles, doubles tight, b spread R wing R, b spread R wing L, b spread L wing R, b spread L wing L, trips R, trips L, trips R te, trips L te, b spread R, b spread L, trips R bunch, trips L bunch, gun b spread R, gun b spread L, gun"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BC75-00F0-422C-8229-0A6E46A7C4CB}">
  <dimension ref="A3:D6"/>
  <sheetViews>
    <sheetView workbookViewId="0">
      <selection activeCell="B5" sqref="B5"/>
    </sheetView>
  </sheetViews>
  <sheetFormatPr defaultRowHeight="15" x14ac:dyDescent="0.25"/>
  <cols>
    <col min="1" max="1" width="13.42578125" bestFit="1" customWidth="1"/>
    <col min="2" max="2" width="16.140625" bestFit="1" customWidth="1"/>
    <col min="3" max="3" width="15.5703125" bestFit="1" customWidth="1"/>
    <col min="4" max="4" width="17.28515625" bestFit="1" customWidth="1"/>
  </cols>
  <sheetData>
    <row r="3" spans="1:4" x14ac:dyDescent="0.25">
      <c r="A3" s="1" t="s">
        <v>17</v>
      </c>
      <c r="B3" t="s">
        <v>36</v>
      </c>
      <c r="C3" t="s">
        <v>39</v>
      </c>
      <c r="D3" s="5" t="s">
        <v>19</v>
      </c>
    </row>
    <row r="4" spans="1:4" x14ac:dyDescent="0.25">
      <c r="A4" s="2" t="s">
        <v>16</v>
      </c>
      <c r="B4" s="3">
        <v>29</v>
      </c>
      <c r="C4" s="3">
        <v>102</v>
      </c>
      <c r="D4">
        <f>C4/B4</f>
        <v>3.5172413793103448</v>
      </c>
    </row>
    <row r="5" spans="1:4" x14ac:dyDescent="0.25">
      <c r="A5" s="2" t="s">
        <v>15</v>
      </c>
      <c r="B5" s="3">
        <v>12</v>
      </c>
      <c r="C5" s="3">
        <v>10</v>
      </c>
      <c r="D5">
        <f t="shared" ref="D5:D6" si="0">C5/B5</f>
        <v>0.83333333333333337</v>
      </c>
    </row>
    <row r="6" spans="1:4" x14ac:dyDescent="0.25">
      <c r="A6" s="2" t="s">
        <v>18</v>
      </c>
      <c r="B6" s="3">
        <v>41</v>
      </c>
      <c r="C6" s="3">
        <v>112</v>
      </c>
      <c r="D6" s="4">
        <f t="shared" si="0"/>
        <v>2.7317073170731709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D7405-641B-409E-B2B7-2ADC9C054300}">
  <dimension ref="A3:D12"/>
  <sheetViews>
    <sheetView workbookViewId="0">
      <selection activeCell="D32" sqref="D32"/>
    </sheetView>
  </sheetViews>
  <sheetFormatPr defaultRowHeight="15" x14ac:dyDescent="0.25"/>
  <cols>
    <col min="1" max="1" width="18.7109375" bestFit="1" customWidth="1"/>
    <col min="2" max="2" width="16.140625" bestFit="1" customWidth="1"/>
    <col min="3" max="3" width="15.5703125" bestFit="1" customWidth="1"/>
  </cols>
  <sheetData>
    <row r="3" spans="1:4" x14ac:dyDescent="0.25">
      <c r="A3" s="1" t="s">
        <v>17</v>
      </c>
      <c r="B3" t="s">
        <v>36</v>
      </c>
      <c r="C3" t="s">
        <v>39</v>
      </c>
      <c r="D3" s="5" t="s">
        <v>19</v>
      </c>
    </row>
    <row r="4" spans="1:4" x14ac:dyDescent="0.25">
      <c r="A4" s="2" t="s">
        <v>6</v>
      </c>
      <c r="B4" s="3">
        <v>12</v>
      </c>
      <c r="C4" s="3">
        <v>26</v>
      </c>
      <c r="D4">
        <f>C4/B4</f>
        <v>2.1666666666666665</v>
      </c>
    </row>
    <row r="5" spans="1:4" x14ac:dyDescent="0.25">
      <c r="A5" s="2" t="s">
        <v>8</v>
      </c>
      <c r="B5" s="3">
        <v>5</v>
      </c>
      <c r="C5" s="3">
        <v>0</v>
      </c>
      <c r="D5">
        <f t="shared" ref="D5:D12" si="0">C5/B5</f>
        <v>0</v>
      </c>
    </row>
    <row r="6" spans="1:4" x14ac:dyDescent="0.25">
      <c r="A6" s="2" t="s">
        <v>9</v>
      </c>
      <c r="B6" s="3">
        <v>1</v>
      </c>
      <c r="C6" s="3">
        <v>0</v>
      </c>
      <c r="D6">
        <f t="shared" si="0"/>
        <v>0</v>
      </c>
    </row>
    <row r="7" spans="1:4" x14ac:dyDescent="0.25">
      <c r="A7" s="2" t="s">
        <v>37</v>
      </c>
      <c r="B7" s="3">
        <v>1</v>
      </c>
      <c r="C7" s="3">
        <v>-2</v>
      </c>
      <c r="D7">
        <f t="shared" si="0"/>
        <v>-2</v>
      </c>
    </row>
    <row r="8" spans="1:4" x14ac:dyDescent="0.25">
      <c r="A8" s="2" t="s">
        <v>11</v>
      </c>
      <c r="B8" s="3">
        <v>8</v>
      </c>
      <c r="C8" s="3">
        <v>45</v>
      </c>
      <c r="D8">
        <f t="shared" si="0"/>
        <v>5.625</v>
      </c>
    </row>
    <row r="9" spans="1:4" x14ac:dyDescent="0.25">
      <c r="A9" s="2" t="s">
        <v>38</v>
      </c>
      <c r="B9" s="3">
        <v>2</v>
      </c>
      <c r="C9" s="3">
        <v>-1</v>
      </c>
      <c r="D9">
        <f t="shared" si="0"/>
        <v>-0.5</v>
      </c>
    </row>
    <row r="10" spans="1:4" x14ac:dyDescent="0.25">
      <c r="A10" s="2" t="s">
        <v>20</v>
      </c>
      <c r="B10" s="3">
        <v>7</v>
      </c>
      <c r="C10" s="3">
        <v>5</v>
      </c>
      <c r="D10">
        <f t="shared" si="0"/>
        <v>0.7142857142857143</v>
      </c>
    </row>
    <row r="11" spans="1:4" x14ac:dyDescent="0.25">
      <c r="A11" s="2" t="s">
        <v>25</v>
      </c>
      <c r="B11" s="3">
        <v>5</v>
      </c>
      <c r="C11" s="3">
        <v>39</v>
      </c>
      <c r="D11">
        <f t="shared" si="0"/>
        <v>7.8</v>
      </c>
    </row>
    <row r="12" spans="1:4" x14ac:dyDescent="0.25">
      <c r="A12" s="2" t="s">
        <v>18</v>
      </c>
      <c r="B12" s="3">
        <v>41</v>
      </c>
      <c r="C12" s="3">
        <v>112</v>
      </c>
      <c r="D12" s="4">
        <f t="shared" si="0"/>
        <v>2.7317073170731709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A87D-135A-4AFC-8FFE-A285EC3CFE44}">
  <dimension ref="A3:D18"/>
  <sheetViews>
    <sheetView workbookViewId="0">
      <selection activeCell="H29" sqref="H29"/>
    </sheetView>
  </sheetViews>
  <sheetFormatPr defaultRowHeight="15" x14ac:dyDescent="0.25"/>
  <cols>
    <col min="1" max="1" width="22.42578125" bestFit="1" customWidth="1"/>
    <col min="2" max="2" width="16.140625" bestFit="1" customWidth="1"/>
    <col min="3" max="3" width="15.5703125" bestFit="1" customWidth="1"/>
  </cols>
  <sheetData>
    <row r="3" spans="1:4" x14ac:dyDescent="0.25">
      <c r="A3" s="1" t="s">
        <v>17</v>
      </c>
      <c r="B3" t="s">
        <v>36</v>
      </c>
      <c r="C3" t="s">
        <v>39</v>
      </c>
      <c r="D3" s="5" t="s">
        <v>19</v>
      </c>
    </row>
    <row r="4" spans="1:4" x14ac:dyDescent="0.25">
      <c r="A4" s="2" t="s">
        <v>16</v>
      </c>
      <c r="B4" s="3">
        <v>28</v>
      </c>
      <c r="C4" s="3">
        <v>102</v>
      </c>
      <c r="D4">
        <f>C4/B4</f>
        <v>3.6428571428571428</v>
      </c>
    </row>
    <row r="5" spans="1:4" x14ac:dyDescent="0.25">
      <c r="A5" s="6" t="s">
        <v>6</v>
      </c>
      <c r="B5" s="3">
        <v>7</v>
      </c>
      <c r="C5" s="3">
        <v>22</v>
      </c>
      <c r="D5">
        <f t="shared" ref="D5:D18" si="0">C5/B5</f>
        <v>3.1428571428571428</v>
      </c>
    </row>
    <row r="6" spans="1:4" x14ac:dyDescent="0.25">
      <c r="A6" s="6" t="s">
        <v>8</v>
      </c>
      <c r="B6" s="3">
        <v>2</v>
      </c>
      <c r="C6" s="3">
        <v>-2</v>
      </c>
      <c r="D6">
        <f t="shared" si="0"/>
        <v>-1</v>
      </c>
    </row>
    <row r="7" spans="1:4" x14ac:dyDescent="0.25">
      <c r="A7" s="6" t="s">
        <v>9</v>
      </c>
      <c r="B7" s="3">
        <v>1</v>
      </c>
      <c r="C7" s="3">
        <v>0</v>
      </c>
      <c r="D7">
        <f t="shared" si="0"/>
        <v>0</v>
      </c>
    </row>
    <row r="8" spans="1:4" x14ac:dyDescent="0.25">
      <c r="A8" s="6" t="s">
        <v>37</v>
      </c>
      <c r="B8" s="3">
        <v>1</v>
      </c>
      <c r="C8" s="3">
        <v>-2</v>
      </c>
      <c r="D8">
        <f t="shared" si="0"/>
        <v>-2</v>
      </c>
    </row>
    <row r="9" spans="1:4" x14ac:dyDescent="0.25">
      <c r="A9" s="6" t="s">
        <v>11</v>
      </c>
      <c r="B9" s="3">
        <v>8</v>
      </c>
      <c r="C9" s="3">
        <v>45</v>
      </c>
      <c r="D9">
        <f t="shared" si="0"/>
        <v>5.625</v>
      </c>
    </row>
    <row r="10" spans="1:4" x14ac:dyDescent="0.25">
      <c r="A10" s="6" t="s">
        <v>38</v>
      </c>
      <c r="B10" s="3">
        <v>1</v>
      </c>
      <c r="C10" s="3">
        <v>0</v>
      </c>
      <c r="D10">
        <f t="shared" si="0"/>
        <v>0</v>
      </c>
    </row>
    <row r="11" spans="1:4" x14ac:dyDescent="0.25">
      <c r="A11" s="6" t="s">
        <v>20</v>
      </c>
      <c r="B11" s="3">
        <v>3</v>
      </c>
      <c r="C11" s="3">
        <v>0</v>
      </c>
      <c r="D11">
        <f t="shared" si="0"/>
        <v>0</v>
      </c>
    </row>
    <row r="12" spans="1:4" x14ac:dyDescent="0.25">
      <c r="A12" s="6" t="s">
        <v>25</v>
      </c>
      <c r="B12" s="3">
        <v>5</v>
      </c>
      <c r="C12" s="3">
        <v>39</v>
      </c>
      <c r="D12">
        <f t="shared" si="0"/>
        <v>7.8</v>
      </c>
    </row>
    <row r="13" spans="1:4" x14ac:dyDescent="0.25">
      <c r="A13" s="2" t="s">
        <v>15</v>
      </c>
      <c r="B13" s="3">
        <v>12</v>
      </c>
      <c r="C13" s="3">
        <v>10</v>
      </c>
      <c r="D13">
        <f t="shared" si="0"/>
        <v>0.83333333333333337</v>
      </c>
    </row>
    <row r="14" spans="1:4" x14ac:dyDescent="0.25">
      <c r="A14" s="6" t="s">
        <v>6</v>
      </c>
      <c r="B14" s="3">
        <v>5</v>
      </c>
      <c r="C14" s="3">
        <v>4</v>
      </c>
      <c r="D14">
        <f t="shared" si="0"/>
        <v>0.8</v>
      </c>
    </row>
    <row r="15" spans="1:4" x14ac:dyDescent="0.25">
      <c r="A15" s="6" t="s">
        <v>8</v>
      </c>
      <c r="B15" s="3">
        <v>2</v>
      </c>
      <c r="C15" s="3">
        <v>2</v>
      </c>
      <c r="D15">
        <f t="shared" si="0"/>
        <v>1</v>
      </c>
    </row>
    <row r="16" spans="1:4" x14ac:dyDescent="0.25">
      <c r="A16" s="6" t="s">
        <v>38</v>
      </c>
      <c r="B16" s="3">
        <v>1</v>
      </c>
      <c r="C16" s="3">
        <v>-1</v>
      </c>
      <c r="D16">
        <f t="shared" si="0"/>
        <v>-1</v>
      </c>
    </row>
    <row r="17" spans="1:4" x14ac:dyDescent="0.25">
      <c r="A17" s="6" t="s">
        <v>20</v>
      </c>
      <c r="B17" s="3">
        <v>4</v>
      </c>
      <c r="C17" s="3">
        <v>5</v>
      </c>
      <c r="D17">
        <f t="shared" si="0"/>
        <v>1.25</v>
      </c>
    </row>
    <row r="18" spans="1:4" x14ac:dyDescent="0.25">
      <c r="A18" s="2" t="s">
        <v>18</v>
      </c>
      <c r="B18" s="3">
        <v>40</v>
      </c>
      <c r="C18" s="3">
        <v>112</v>
      </c>
      <c r="D18" s="4">
        <f t="shared" si="0"/>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Stats</vt:lpstr>
      <vt:lpstr>Run_Pass</vt:lpstr>
      <vt:lpstr>Formation</vt:lpstr>
      <vt:lpstr>Formation_Run_Pass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Tanner Corn</dc:creator>
  <cp:lastModifiedBy>Tanner Corn</cp:lastModifiedBy>
  <dcterms:created xsi:type="dcterms:W3CDTF">2025-09-05T01:26:53Z</dcterms:created>
  <dcterms:modified xsi:type="dcterms:W3CDTF">2025-09-19T23:11:07Z</dcterms:modified>
</cp:coreProperties>
</file>