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docs.live.net/8fee492536875354/Documents/"/>
    </mc:Choice>
  </mc:AlternateContent>
  <xr:revisionPtr revIDLastSave="0" documentId="8_{17321038-1411-4E54-A128-55F74D8009BA}" xr6:coauthVersionLast="47" xr6:coauthVersionMax="47" xr10:uidLastSave="{00000000-0000-0000-0000-000000000000}"/>
  <bookViews>
    <workbookView xWindow="-120" yWindow="-120" windowWidth="23280" windowHeight="14880" xr2:uid="{BF8143EE-B1DD-4C3E-833F-A43533D2D7E1}"/>
  </bookViews>
  <sheets>
    <sheet name="Play By Play" sheetId="1" r:id="rId1"/>
    <sheet name="Run_Pass_Stats" sheetId="2" r:id="rId2"/>
    <sheet name="Formation_Stats" sheetId="3" r:id="rId3"/>
    <sheet name="TD_Stats" sheetId="4" r:id="rId4"/>
  </sheet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6" i="1" l="1"/>
  <c r="I46" i="1"/>
  <c r="J46" i="1"/>
  <c r="C45" i="1"/>
  <c r="I45" i="1"/>
  <c r="J45" i="1"/>
  <c r="A44" i="1"/>
  <c r="B44" i="1"/>
  <c r="C44" i="1"/>
  <c r="I44" i="1" s="1"/>
  <c r="J44" i="1"/>
  <c r="I43" i="1"/>
  <c r="J43" i="1"/>
  <c r="C42" i="1"/>
  <c r="I42" i="1"/>
  <c r="J42" i="1"/>
  <c r="C41" i="1"/>
  <c r="I41" i="1"/>
  <c r="J41" i="1"/>
  <c r="A40" i="1"/>
  <c r="B40" i="1"/>
  <c r="C40" i="1"/>
  <c r="I40" i="1"/>
  <c r="A41" i="1" s="1"/>
  <c r="J40" i="1"/>
  <c r="I39" i="1"/>
  <c r="J39" i="1"/>
  <c r="C38" i="1"/>
  <c r="I38" i="1"/>
  <c r="J38" i="1"/>
  <c r="C37" i="1"/>
  <c r="I37" i="1"/>
  <c r="J37" i="1"/>
  <c r="A36" i="1"/>
  <c r="B36" i="1"/>
  <c r="C36" i="1"/>
  <c r="I36" i="1" s="1"/>
  <c r="J36" i="1"/>
  <c r="I35" i="1"/>
  <c r="J35" i="1"/>
  <c r="C34" i="1"/>
  <c r="I34" i="1"/>
  <c r="J34" i="1"/>
  <c r="C33" i="1"/>
  <c r="I33" i="1"/>
  <c r="J33" i="1"/>
  <c r="A32" i="1"/>
  <c r="I32" i="1"/>
  <c r="A33" i="1" s="1"/>
  <c r="J32" i="1"/>
  <c r="I31" i="1"/>
  <c r="J31" i="1"/>
  <c r="C30" i="1"/>
  <c r="I30" i="1"/>
  <c r="J30" i="1"/>
  <c r="C29" i="1"/>
  <c r="I29" i="1"/>
  <c r="J29" i="1"/>
  <c r="A28" i="1"/>
  <c r="B28" i="1"/>
  <c r="C28" i="1"/>
  <c r="I28" i="1" s="1"/>
  <c r="J28" i="1"/>
  <c r="I27" i="1"/>
  <c r="J27" i="1"/>
  <c r="B26" i="1"/>
  <c r="C26" i="1"/>
  <c r="I26" i="1"/>
  <c r="J26" i="1"/>
  <c r="I25" i="1"/>
  <c r="J25" i="1"/>
  <c r="C24" i="1"/>
  <c r="I24" i="1"/>
  <c r="J24" i="1"/>
  <c r="C23" i="1"/>
  <c r="I23" i="1"/>
  <c r="J23" i="1"/>
  <c r="C22" i="1"/>
  <c r="I22" i="1" s="1"/>
  <c r="J22" i="1"/>
  <c r="I21" i="1"/>
  <c r="J21" i="1"/>
  <c r="C20" i="1"/>
  <c r="I20" i="1"/>
  <c r="J20" i="1"/>
  <c r="C19" i="1"/>
  <c r="I19" i="1"/>
  <c r="J19" i="1"/>
  <c r="C18" i="1"/>
  <c r="I18" i="1" s="1"/>
  <c r="J18" i="1"/>
  <c r="I17" i="1"/>
  <c r="A18" i="1" s="1"/>
  <c r="J17" i="1"/>
  <c r="C16" i="1"/>
  <c r="I16" i="1" s="1"/>
  <c r="J16" i="1"/>
  <c r="C15" i="1"/>
  <c r="I15" i="1"/>
  <c r="J15" i="1"/>
  <c r="C14" i="1"/>
  <c r="I14" i="1" s="1"/>
  <c r="J14" i="1"/>
  <c r="I13" i="1"/>
  <c r="A14" i="1" s="1"/>
  <c r="J13" i="1"/>
  <c r="B12" i="1"/>
  <c r="C12" i="1"/>
  <c r="I12" i="1" s="1"/>
  <c r="J12" i="1"/>
  <c r="I11" i="1"/>
  <c r="J11" i="1"/>
  <c r="C10" i="1"/>
  <c r="I10" i="1"/>
  <c r="J10" i="1"/>
  <c r="C9" i="1"/>
  <c r="I9" i="1" s="1"/>
  <c r="J9" i="1"/>
  <c r="C8" i="1"/>
  <c r="I8" i="1"/>
  <c r="J8" i="1"/>
  <c r="A7" i="1"/>
  <c r="C7" i="1"/>
  <c r="I7" i="1"/>
  <c r="A8" i="1" s="1"/>
  <c r="J7" i="1"/>
  <c r="J6" i="1"/>
  <c r="J5" i="1"/>
  <c r="J4" i="1"/>
  <c r="J3" i="1"/>
  <c r="I6" i="1"/>
  <c r="B7" i="1" s="1"/>
  <c r="B8" i="1" s="1"/>
  <c r="C5" i="1"/>
  <c r="I5" i="1" s="1"/>
  <c r="C4" i="1"/>
  <c r="I4" i="1" s="1"/>
  <c r="J2" i="1"/>
  <c r="C3" i="1"/>
  <c r="I3" i="1" s="1"/>
  <c r="I2" i="1"/>
  <c r="A3" i="1" s="1"/>
  <c r="A37" i="1" l="1"/>
  <c r="B37" i="1"/>
  <c r="B38" i="1" s="1"/>
  <c r="A29" i="1"/>
  <c r="B29" i="1"/>
  <c r="B30" i="1" s="1"/>
  <c r="A45" i="1"/>
  <c r="B45" i="1"/>
  <c r="B46" i="1" s="1"/>
  <c r="A9" i="1"/>
  <c r="A10" i="1" s="1"/>
  <c r="A11" i="1" s="1"/>
  <c r="A12" i="1" s="1"/>
  <c r="B18" i="1"/>
  <c r="B33" i="1"/>
  <c r="B14" i="1"/>
  <c r="B41" i="1"/>
  <c r="B9" i="1"/>
  <c r="B10" i="1" s="1"/>
  <c r="B3" i="1"/>
  <c r="B4" i="1" s="1"/>
  <c r="B5" i="1" s="1"/>
  <c r="A42" i="1" l="1"/>
  <c r="B42" i="1"/>
  <c r="A46" i="1"/>
  <c r="A15" i="1"/>
  <c r="B15" i="1"/>
  <c r="A30" i="1"/>
  <c r="B34" i="1"/>
  <c r="A34" i="1"/>
  <c r="A38" i="1"/>
  <c r="B19" i="1"/>
  <c r="A19" i="1"/>
  <c r="A4" i="1"/>
  <c r="A5" i="1" s="1"/>
  <c r="A16" i="1" l="1"/>
  <c r="B16" i="1"/>
  <c r="B20" i="1"/>
  <c r="A20" i="1"/>
  <c r="A21" i="1" l="1"/>
  <c r="B21" i="1"/>
  <c r="A22" i="1" l="1"/>
  <c r="B22" i="1"/>
  <c r="A23" i="1" l="1"/>
  <c r="B23" i="1"/>
  <c r="B24" i="1" l="1"/>
  <c r="A24" i="1"/>
  <c r="A25" i="1" l="1"/>
  <c r="A26" i="1" s="1"/>
</calcChain>
</file>

<file path=xl/sharedStrings.xml><?xml version="1.0" encoding="utf-8"?>
<sst xmlns="http://schemas.openxmlformats.org/spreadsheetml/2006/main" count="157" uniqueCount="44">
  <si>
    <t>down</t>
  </si>
  <si>
    <t>ytg</t>
  </si>
  <si>
    <t>start yl</t>
  </si>
  <si>
    <t>formation</t>
  </si>
  <si>
    <t>run/pass</t>
  </si>
  <si>
    <t>play</t>
  </si>
  <si>
    <t>playmaker</t>
  </si>
  <si>
    <t>end yl</t>
  </si>
  <si>
    <t>yard +/-</t>
  </si>
  <si>
    <t>TD</t>
  </si>
  <si>
    <t>BSR TE L</t>
  </si>
  <si>
    <t>Trips R</t>
  </si>
  <si>
    <t>Quick Screen Right</t>
  </si>
  <si>
    <t>Doubles</t>
  </si>
  <si>
    <t>Go</t>
  </si>
  <si>
    <t>Punt</t>
  </si>
  <si>
    <t>Gun WR</t>
  </si>
  <si>
    <t>Lead</t>
  </si>
  <si>
    <t>BSR TE R</t>
  </si>
  <si>
    <t>BSL WR</t>
  </si>
  <si>
    <t>Dive</t>
  </si>
  <si>
    <t>BSL WL</t>
  </si>
  <si>
    <t>run</t>
  </si>
  <si>
    <t>pass</t>
  </si>
  <si>
    <t>Gun BSR</t>
  </si>
  <si>
    <t>Gun BSL</t>
  </si>
  <si>
    <t>Comeback</t>
  </si>
  <si>
    <t>Pick Pass</t>
  </si>
  <si>
    <t>Stretch Left</t>
  </si>
  <si>
    <t>Trips L</t>
  </si>
  <si>
    <t>Quick Screen Left</t>
  </si>
  <si>
    <t>BSR WR</t>
  </si>
  <si>
    <t>QB Dive</t>
  </si>
  <si>
    <t>Reverse</t>
  </si>
  <si>
    <t>QB Sweep</t>
  </si>
  <si>
    <t>QB Draw</t>
  </si>
  <si>
    <t>Row Labels</t>
  </si>
  <si>
    <t>Grand Total</t>
  </si>
  <si>
    <t>Sum of yard +/-2</t>
  </si>
  <si>
    <t>Count of yard +/-</t>
  </si>
  <si>
    <t>Average of yard +/-3</t>
  </si>
  <si>
    <t>yes</t>
  </si>
  <si>
    <t>Count of run/pass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</si>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</sst>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er Corn" refreshedDate="45953.931428009259" createdVersion="8" refreshedVersion="8" minRefreshableVersion="3" recordCount="46" xr:uid="{2D7C6C38-B26F-4033-B10B-D00B5834309C}">
  <cacheSource type="worksheet">
    <worksheetSource ref="A1:J1048576" sheet="Play By Play"/>
  </cacheSource>
  <cacheFields count="10">
    <cacheField name="down" numFmtId="0">
      <sharedItems containsString="0" containsBlank="1" containsNumber="1" containsInteger="1" minValue="1" maxValue="4"/>
    </cacheField>
    <cacheField name="ytg" numFmtId="0">
      <sharedItems containsString="0" containsBlank="1" containsNumber="1" containsInteger="1" minValue="3" maxValue="20"/>
    </cacheField>
    <cacheField name="start yl" numFmtId="0">
      <sharedItems containsString="0" containsBlank="1" containsNumber="1" containsInteger="1" minValue="24" maxValue="63"/>
    </cacheField>
    <cacheField name="formation" numFmtId="0">
      <sharedItems containsBlank="1" count="12">
        <s v="BSR TE L"/>
        <s v="Trips R"/>
        <s v="Doubles"/>
        <m/>
        <s v="Gun WR"/>
        <s v="BSR TE R"/>
        <s v="BSL WR"/>
        <s v="BSL WL"/>
        <s v="Gun BSR"/>
        <s v="Gun BSL"/>
        <s v="Trips L"/>
        <s v="BSR WR"/>
      </sharedItems>
    </cacheField>
    <cacheField name="run/pass" numFmtId="0">
      <sharedItems containsBlank="1" count="3">
        <s v="run"/>
        <s v="pass"/>
        <m/>
      </sharedItems>
    </cacheField>
    <cacheField name="play" numFmtId="0">
      <sharedItems containsBlank="1"/>
    </cacheField>
    <cacheField name="playmaker" numFmtId="0">
      <sharedItems containsString="0" containsBlank="1" containsNumber="1" containsInteger="1" minValue="2" maxValue="77"/>
    </cacheField>
    <cacheField name="end yl" numFmtId="0">
      <sharedItems containsString="0" containsBlank="1" containsNumber="1" containsInteger="1" minValue="24" maxValue="100"/>
    </cacheField>
    <cacheField name="yard +/-" numFmtId="0">
      <sharedItems containsString="0" containsBlank="1" containsNumber="1" containsInteger="1" minValue="-56" maxValue="50"/>
    </cacheField>
    <cacheField name="TD" numFmtId="0">
      <sharedItems containsBlank="1" count="3">
        <s v="no"/>
        <s v="ye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n v="1"/>
    <n v="15"/>
    <n v="37"/>
    <x v="0"/>
    <x v="0"/>
    <s v="QB Draw"/>
    <n v="75"/>
    <n v="35"/>
    <n v="-2"/>
    <x v="0"/>
  </r>
  <r>
    <n v="2"/>
    <n v="17"/>
    <n v="35"/>
    <x v="1"/>
    <x v="1"/>
    <s v="Quick Screen Right"/>
    <n v="13"/>
    <n v="37"/>
    <n v="2"/>
    <x v="0"/>
  </r>
  <r>
    <n v="3"/>
    <n v="15"/>
    <n v="37"/>
    <x v="2"/>
    <x v="1"/>
    <s v="Go"/>
    <m/>
    <n v="37"/>
    <n v="0"/>
    <x v="0"/>
  </r>
  <r>
    <n v="4"/>
    <n v="15"/>
    <n v="37"/>
    <x v="3"/>
    <x v="2"/>
    <s v="Punt"/>
    <m/>
    <m/>
    <n v="-37"/>
    <x v="0"/>
  </r>
  <r>
    <n v="1"/>
    <n v="10"/>
    <n v="25"/>
    <x v="4"/>
    <x v="0"/>
    <s v="Lead"/>
    <n v="53"/>
    <n v="24"/>
    <n v="-1"/>
    <x v="0"/>
  </r>
  <r>
    <n v="2"/>
    <n v="11"/>
    <n v="24"/>
    <x v="4"/>
    <x v="0"/>
    <s v="Lead"/>
    <n v="21"/>
    <n v="24"/>
    <n v="0"/>
    <x v="0"/>
  </r>
  <r>
    <n v="3"/>
    <n v="11"/>
    <n v="24"/>
    <x v="5"/>
    <x v="1"/>
    <s v="Comeback"/>
    <n v="2"/>
    <n v="35"/>
    <n v="11"/>
    <x v="0"/>
  </r>
  <r>
    <n v="1"/>
    <n v="10"/>
    <n v="35"/>
    <x v="6"/>
    <x v="0"/>
    <s v="Dive"/>
    <n v="13"/>
    <n v="35"/>
    <n v="0"/>
    <x v="0"/>
  </r>
  <r>
    <n v="2"/>
    <n v="10"/>
    <n v="35"/>
    <x v="6"/>
    <x v="0"/>
    <s v="QB Draw"/>
    <n v="75"/>
    <n v="34"/>
    <n v="-1"/>
    <x v="0"/>
  </r>
  <r>
    <n v="3"/>
    <n v="16"/>
    <n v="29"/>
    <x v="7"/>
    <x v="0"/>
    <s v="Lead"/>
    <n v="52"/>
    <n v="33"/>
    <n v="4"/>
    <x v="0"/>
  </r>
  <r>
    <n v="4"/>
    <n v="12"/>
    <n v="33"/>
    <x v="3"/>
    <x v="2"/>
    <s v="Punt"/>
    <m/>
    <m/>
    <n v="-33"/>
    <x v="0"/>
  </r>
  <r>
    <n v="1"/>
    <n v="10"/>
    <n v="25"/>
    <x v="7"/>
    <x v="0"/>
    <s v="QB Sweep"/>
    <n v="13"/>
    <n v="25"/>
    <n v="0"/>
    <x v="0"/>
  </r>
  <r>
    <n v="2"/>
    <n v="10"/>
    <n v="25"/>
    <x v="8"/>
    <x v="0"/>
    <s v="Lead"/>
    <n v="77"/>
    <n v="25"/>
    <n v="0"/>
    <x v="0"/>
  </r>
  <r>
    <n v="3"/>
    <n v="10"/>
    <n v="25"/>
    <x v="8"/>
    <x v="0"/>
    <s v="Reverse"/>
    <n v="22"/>
    <n v="31"/>
    <n v="6"/>
    <x v="0"/>
  </r>
  <r>
    <n v="4"/>
    <n v="4"/>
    <n v="31"/>
    <x v="3"/>
    <x v="2"/>
    <s v="Punt"/>
    <m/>
    <m/>
    <n v="-31"/>
    <x v="0"/>
  </r>
  <r>
    <n v="1"/>
    <n v="10"/>
    <n v="29"/>
    <x v="9"/>
    <x v="0"/>
    <s v="Lead"/>
    <n v="52"/>
    <n v="30"/>
    <n v="1"/>
    <x v="0"/>
  </r>
  <r>
    <n v="2"/>
    <n v="9"/>
    <n v="30"/>
    <x v="8"/>
    <x v="1"/>
    <s v="Comeback"/>
    <n v="4"/>
    <n v="43"/>
    <n v="13"/>
    <x v="0"/>
  </r>
  <r>
    <n v="1"/>
    <n v="10"/>
    <n v="43"/>
    <x v="9"/>
    <x v="0"/>
    <s v="Dive"/>
    <n v="20"/>
    <n v="50"/>
    <n v="7"/>
    <x v="0"/>
  </r>
  <r>
    <n v="2"/>
    <n v="3"/>
    <n v="50"/>
    <x v="9"/>
    <x v="1"/>
    <s v="Go"/>
    <m/>
    <n v="100"/>
    <n v="50"/>
    <x v="1"/>
  </r>
  <r>
    <n v="1"/>
    <n v="10"/>
    <n v="30"/>
    <x v="7"/>
    <x v="0"/>
    <s v="Lead"/>
    <n v="13"/>
    <n v="31"/>
    <n v="1"/>
    <x v="0"/>
  </r>
  <r>
    <n v="2"/>
    <n v="9"/>
    <n v="31"/>
    <x v="9"/>
    <x v="1"/>
    <s v="Pick Pass"/>
    <n v="2"/>
    <n v="63"/>
    <n v="32"/>
    <x v="0"/>
  </r>
  <r>
    <n v="1"/>
    <n v="10"/>
    <n v="63"/>
    <x v="7"/>
    <x v="0"/>
    <s v="Stretch Left"/>
    <n v="58"/>
    <n v="63"/>
    <n v="0"/>
    <x v="0"/>
  </r>
  <r>
    <n v="2"/>
    <n v="10"/>
    <n v="63"/>
    <x v="10"/>
    <x v="1"/>
    <m/>
    <n v="13"/>
    <n v="63"/>
    <n v="0"/>
    <x v="0"/>
  </r>
  <r>
    <n v="3"/>
    <n v="15"/>
    <n v="58"/>
    <x v="0"/>
    <x v="1"/>
    <s v="Quick Screen Left"/>
    <n v="22"/>
    <n v="56"/>
    <n v="-2"/>
    <x v="0"/>
  </r>
  <r>
    <n v="4"/>
    <n v="17"/>
    <n v="56"/>
    <x v="3"/>
    <x v="2"/>
    <s v="Punt"/>
    <m/>
    <m/>
    <n v="-56"/>
    <x v="0"/>
  </r>
  <r>
    <n v="1"/>
    <n v="10"/>
    <n v="54"/>
    <x v="8"/>
    <x v="0"/>
    <s v="Stretch Left"/>
    <n v="75"/>
    <n v="52"/>
    <n v="-2"/>
    <x v="0"/>
  </r>
  <r>
    <n v="2"/>
    <n v="12"/>
    <n v="52"/>
    <x v="9"/>
    <x v="0"/>
    <s v="Lead"/>
    <n v="20"/>
    <n v="53"/>
    <n v="1"/>
    <x v="0"/>
  </r>
  <r>
    <n v="3"/>
    <n v="11"/>
    <n v="53"/>
    <x v="9"/>
    <x v="1"/>
    <s v="Comeback"/>
    <m/>
    <n v="53"/>
    <n v="0"/>
    <x v="0"/>
  </r>
  <r>
    <n v="4"/>
    <n v="11"/>
    <n v="53"/>
    <x v="3"/>
    <x v="2"/>
    <s v="Punt"/>
    <m/>
    <m/>
    <n v="-53"/>
    <x v="0"/>
  </r>
  <r>
    <n v="1"/>
    <n v="10"/>
    <n v="47"/>
    <x v="9"/>
    <x v="1"/>
    <s v="Comeback"/>
    <m/>
    <n v="47"/>
    <n v="0"/>
    <x v="0"/>
  </r>
  <r>
    <n v="2"/>
    <n v="20"/>
    <n v="37"/>
    <x v="10"/>
    <x v="1"/>
    <s v="Comeback"/>
    <m/>
    <n v="37"/>
    <n v="0"/>
    <x v="0"/>
  </r>
  <r>
    <n v="3"/>
    <n v="20"/>
    <n v="37"/>
    <x v="8"/>
    <x v="0"/>
    <s v="Dive"/>
    <n v="13"/>
    <n v="38"/>
    <n v="1"/>
    <x v="0"/>
  </r>
  <r>
    <n v="4"/>
    <n v="19"/>
    <n v="38"/>
    <x v="3"/>
    <x v="2"/>
    <s v="Punt"/>
    <m/>
    <m/>
    <n v="-38"/>
    <x v="0"/>
  </r>
  <r>
    <n v="1"/>
    <n v="10"/>
    <n v="36"/>
    <x v="9"/>
    <x v="0"/>
    <s v="Stretch Left"/>
    <n v="52"/>
    <n v="30"/>
    <n v="-6"/>
    <x v="0"/>
  </r>
  <r>
    <n v="2"/>
    <n v="16"/>
    <n v="30"/>
    <x v="11"/>
    <x v="0"/>
    <s v="QB Dive"/>
    <n v="67"/>
    <n v="31"/>
    <n v="1"/>
    <x v="0"/>
  </r>
  <r>
    <n v="3"/>
    <n v="15"/>
    <n v="31"/>
    <x v="7"/>
    <x v="0"/>
    <s v="Lead"/>
    <n v="13"/>
    <n v="31"/>
    <n v="0"/>
    <x v="0"/>
  </r>
  <r>
    <n v="4"/>
    <n v="15"/>
    <n v="31"/>
    <x v="3"/>
    <x v="2"/>
    <s v="Punt"/>
    <m/>
    <m/>
    <n v="-31"/>
    <x v="0"/>
  </r>
  <r>
    <n v="1"/>
    <n v="10"/>
    <n v="44"/>
    <x v="9"/>
    <x v="0"/>
    <s v="Lead"/>
    <n v="13"/>
    <n v="41"/>
    <n v="-3"/>
    <x v="0"/>
  </r>
  <r>
    <n v="2"/>
    <n v="13"/>
    <n v="41"/>
    <x v="8"/>
    <x v="0"/>
    <s v="Dive"/>
    <n v="13"/>
    <n v="41"/>
    <n v="0"/>
    <x v="0"/>
  </r>
  <r>
    <n v="3"/>
    <n v="13"/>
    <n v="41"/>
    <x v="9"/>
    <x v="1"/>
    <s v="Quick Screen Left"/>
    <n v="21"/>
    <n v="45"/>
    <n v="4"/>
    <x v="0"/>
  </r>
  <r>
    <n v="4"/>
    <n v="9"/>
    <n v="45"/>
    <x v="3"/>
    <x v="2"/>
    <s v="Punt"/>
    <m/>
    <m/>
    <n v="-45"/>
    <x v="0"/>
  </r>
  <r>
    <n v="1"/>
    <n v="10"/>
    <n v="25"/>
    <x v="6"/>
    <x v="0"/>
    <s v="Lead"/>
    <n v="12"/>
    <n v="29"/>
    <n v="4"/>
    <x v="0"/>
  </r>
  <r>
    <n v="2"/>
    <n v="6"/>
    <n v="29"/>
    <x v="7"/>
    <x v="0"/>
    <s v="Dive"/>
    <m/>
    <n v="24"/>
    <n v="-5"/>
    <x v="0"/>
  </r>
  <r>
    <n v="3"/>
    <n v="11"/>
    <n v="24"/>
    <x v="7"/>
    <x v="1"/>
    <s v="Go"/>
    <m/>
    <n v="24"/>
    <n v="0"/>
    <x v="0"/>
  </r>
  <r>
    <n v="4"/>
    <n v="11"/>
    <n v="24"/>
    <x v="3"/>
    <x v="2"/>
    <s v="Punt"/>
    <m/>
    <m/>
    <n v="-24"/>
    <x v="0"/>
  </r>
  <r>
    <m/>
    <m/>
    <m/>
    <x v="3"/>
    <x v="2"/>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AE0870-CED5-499E-BBC8-C5E05EC511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 firstHeaderRow="0" firstDataRow="1" firstDataCol="1"/>
  <pivotFields count="10">
    <pivotField showAll="0"/>
    <pivotField showAll="0"/>
    <pivotField showAll="0"/>
    <pivotField showAll="0"/>
    <pivotField axis="axisRow" showAll="0">
      <items count="4">
        <item x="1"/>
        <item x="0"/>
        <item h="1" x="2"/>
        <item t="default"/>
      </items>
    </pivotField>
    <pivotField showAll="0"/>
    <pivotField showAll="0"/>
    <pivotField showAll="0"/>
    <pivotField dataField="1" showAll="0"/>
    <pivotField showAll="0"/>
  </pivotFields>
  <rowFields count="1">
    <field x="4"/>
  </rowFields>
  <rowItems count="3">
    <i>
      <x/>
    </i>
    <i>
      <x v="1"/>
    </i>
    <i t="grand">
      <x/>
    </i>
  </rowItems>
  <colFields count="1">
    <field x="-2"/>
  </colFields>
  <colItems count="3">
    <i>
      <x/>
    </i>
    <i i="1">
      <x v="1"/>
    </i>
    <i i="2">
      <x v="2"/>
    </i>
  </colItems>
  <dataFields count="3">
    <dataField name="Count of yard +/-" fld="8" subtotal="count" baseField="4" baseItem="0"/>
    <dataField name="Sum of yard +/-2" fld="8" baseField="0" baseItem="0"/>
    <dataField name="Average of yard +/-3" fld="8"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A8FF0C-4735-4F3E-814D-1A7D9C6D12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5" firstHeaderRow="0" firstDataRow="1" firstDataCol="1"/>
  <pivotFields count="10">
    <pivotField showAll="0"/>
    <pivotField showAll="0"/>
    <pivotField showAll="0"/>
    <pivotField axis="axisRow" showAll="0">
      <items count="13">
        <item x="7"/>
        <item x="6"/>
        <item x="0"/>
        <item x="5"/>
        <item x="11"/>
        <item x="2"/>
        <item x="9"/>
        <item x="8"/>
        <item x="4"/>
        <item x="10"/>
        <item x="1"/>
        <item h="1" x="3"/>
        <item t="default"/>
      </items>
    </pivotField>
    <pivotField showAll="0"/>
    <pivotField showAll="0"/>
    <pivotField showAll="0"/>
    <pivotField showAll="0"/>
    <pivotField dataField="1" showAll="0"/>
    <pivotField showAll="0"/>
  </pivotFields>
  <rowFields count="1">
    <field x="3"/>
  </rowFields>
  <rowItems count="12">
    <i>
      <x/>
    </i>
    <i>
      <x v="1"/>
    </i>
    <i>
      <x v="2"/>
    </i>
    <i>
      <x v="3"/>
    </i>
    <i>
      <x v="4"/>
    </i>
    <i>
      <x v="5"/>
    </i>
    <i>
      <x v="6"/>
    </i>
    <i>
      <x v="7"/>
    </i>
    <i>
      <x v="8"/>
    </i>
    <i>
      <x v="9"/>
    </i>
    <i>
      <x v="10"/>
    </i>
    <i t="grand">
      <x/>
    </i>
  </rowItems>
  <colFields count="1">
    <field x="-2"/>
  </colFields>
  <colItems count="3">
    <i>
      <x/>
    </i>
    <i i="1">
      <x v="1"/>
    </i>
    <i i="2">
      <x v="2"/>
    </i>
  </colItems>
  <dataFields count="3">
    <dataField name="Count of yard +/-" fld="8" subtotal="count" baseField="3" baseItem="0"/>
    <dataField name="Sum of yard +/-2" fld="8" baseField="0" baseItem="0"/>
    <dataField name="Average of yard +/-3" fld="8"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B7AD27-B301-4B27-A97B-10B6893A195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1" firstDataRow="2" firstDataCol="1"/>
  <pivotFields count="10">
    <pivotField showAll="0"/>
    <pivotField showAll="0"/>
    <pivotField showAll="0"/>
    <pivotField axis="axisRow" showAll="0">
      <items count="13">
        <item x="7"/>
        <item x="6"/>
        <item x="0"/>
        <item x="5"/>
        <item x="11"/>
        <item x="2"/>
        <item x="9"/>
        <item x="8"/>
        <item x="4"/>
        <item x="10"/>
        <item x="1"/>
        <item x="3"/>
        <item t="default"/>
      </items>
    </pivotField>
    <pivotField axis="axisCol" dataField="1" showAll="0">
      <items count="4">
        <item x="1"/>
        <item x="0"/>
        <item x="2"/>
        <item t="default"/>
      </items>
    </pivotField>
    <pivotField showAll="0"/>
    <pivotField showAll="0"/>
    <pivotField showAll="0"/>
    <pivotField showAll="0"/>
    <pivotField axis="axisRow" showAll="0">
      <items count="4">
        <item h="1" x="0"/>
        <item x="1"/>
        <item h="1" x="2"/>
        <item t="default"/>
      </items>
    </pivotField>
  </pivotFields>
  <rowFields count="2">
    <field x="9"/>
    <field x="3"/>
  </rowFields>
  <rowItems count="3">
    <i>
      <x v="1"/>
    </i>
    <i r="1">
      <x v="6"/>
    </i>
    <i t="grand">
      <x/>
    </i>
  </rowItems>
  <colFields count="1">
    <field x="4"/>
  </colFields>
  <colItems count="2">
    <i>
      <x/>
    </i>
    <i t="grand">
      <x/>
    </i>
  </colItems>
  <dataFields count="1">
    <dataField name="Count of run/pas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A8BCC1-F12C-4FDE-87F1-BA9CEEEC2237}" name="Table1" displayName="Table1" ref="A1:J46" totalsRowShown="0">
  <autoFilter ref="A1:J46" xr:uid="{C2A8BCC1-F12C-4FDE-87F1-BA9CEEEC2237}"/>
  <tableColumns count="10">
    <tableColumn id="1" xr3:uid="{7935F2AC-5CC0-4C20-9B11-FA0EB915A8CF}" name="down">
      <calculatedColumnFormula>IF(I1&gt;=B1, 1, A1+1)</calculatedColumnFormula>
    </tableColumn>
    <tableColumn id="2" xr3:uid="{33D06974-38E2-473A-9578-5D9057E0A717}" name="ytg">
      <calculatedColumnFormula>IF(I1&gt;=B1, 10, B1-I1)</calculatedColumnFormula>
    </tableColumn>
    <tableColumn id="3" xr3:uid="{F500E906-489B-4C52-8C77-DD2C0769A815}" name="start yl">
      <calculatedColumnFormula>H1</calculatedColumnFormula>
    </tableColumn>
    <tableColumn id="4" xr3:uid="{89A71601-0571-483A-8C9C-F4F74BF72C8D}" name="formation"/>
    <tableColumn id="5" xr3:uid="{5A1F5717-F810-488B-9DC3-3BCB1C2FB004}" name="run/pass"/>
    <tableColumn id="6" xr3:uid="{40FB757F-49E5-4BDF-909E-3233E591B4A5}" name="play"/>
    <tableColumn id="7" xr3:uid="{CFCDE56D-DB77-4D54-A7DE-3F4B292A296C}" name="playmaker"/>
    <tableColumn id="8" xr3:uid="{C08829DD-C1AA-489D-91AE-E3CFA97BB3B8}" name="end yl"/>
    <tableColumn id="9" xr3:uid="{3A2A9AD7-81AC-4E20-BCDE-5828BEBA5EF4}" name="yard +/-">
      <calculatedColumnFormula>H2-C2</calculatedColumnFormula>
    </tableColumn>
    <tableColumn id="10" xr3:uid="{215F85EA-C06D-46AF-B77D-F8CF1AB11589}" name="TD">
      <calculatedColumnFormula>IF(H2=100, "yes", "no")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9EA8-3607-4633-B79A-B95AAE6E202D}">
  <dimension ref="A1:J46"/>
  <sheetViews>
    <sheetView tabSelected="1" workbookViewId="0">
      <selection activeCell="K28" sqref="K28"/>
    </sheetView>
  </sheetViews>
  <sheetFormatPr defaultRowHeight="15" x14ac:dyDescent="0.25"/>
  <cols>
    <col min="1" max="1" width="11.28515625" customWidth="1"/>
    <col min="2" max="2" width="11.140625" customWidth="1"/>
    <col min="3" max="3" width="11" customWidth="1"/>
    <col min="4" max="4" width="13.42578125" customWidth="1"/>
    <col min="5" max="5" width="11.140625" customWidth="1"/>
    <col min="6" max="6" width="19.140625" customWidth="1"/>
    <col min="7" max="7" width="13.140625" customWidth="1"/>
    <col min="8" max="8" width="15.85546875" customWidth="1"/>
    <col min="9" max="9" width="9.85546875" customWidth="1"/>
    <col min="10" max="10" width="10.28515625" customWidth="1"/>
  </cols>
  <sheetData>
    <row r="1" spans="1:10" x14ac:dyDescent="0.25">
      <c r="A1" t="s">
        <v>0</v>
      </c>
      <c r="B1" t="s">
        <v>1</v>
      </c>
      <c r="C1" t="s">
        <v>2</v>
      </c>
      <c r="D1" t="s">
        <v>3</v>
      </c>
      <c r="E1" t="s">
        <v>4</v>
      </c>
      <c r="F1" t="s">
        <v>5</v>
      </c>
      <c r="G1" t="s">
        <v>6</v>
      </c>
      <c r="H1" t="s">
        <v>7</v>
      </c>
      <c r="I1" t="s">
        <v>8</v>
      </c>
      <c r="J1" t="s">
        <v>9</v>
      </c>
    </row>
    <row r="2" spans="1:10" x14ac:dyDescent="0.25">
      <c r="A2">
        <v>1</v>
      </c>
      <c r="B2">
        <v>15</v>
      </c>
      <c r="C2">
        <v>37</v>
      </c>
      <c r="D2" t="s">
        <v>10</v>
      </c>
      <c r="E2" t="s">
        <v>22</v>
      </c>
      <c r="F2" t="s">
        <v>35</v>
      </c>
      <c r="G2">
        <v>75</v>
      </c>
      <c r="H2">
        <v>35</v>
      </c>
      <c r="I2">
        <f>H2-C2</f>
        <v>-2</v>
      </c>
      <c r="J2" t="str">
        <f>IF(H2=100, "yes", "no")</f>
        <v>no</v>
      </c>
    </row>
    <row r="3" spans="1:10" x14ac:dyDescent="0.25">
      <c r="A3">
        <f>IF(I2&gt;=B2, 1, A2+1)</f>
        <v>2</v>
      </c>
      <c r="B3">
        <f>IF(I2&gt;=B2, 10, B2-I2)</f>
        <v>17</v>
      </c>
      <c r="C3">
        <f>H2</f>
        <v>35</v>
      </c>
      <c r="D3" t="s">
        <v>11</v>
      </c>
      <c r="E3" t="s">
        <v>23</v>
      </c>
      <c r="F3" t="s">
        <v>12</v>
      </c>
      <c r="G3">
        <v>13</v>
      </c>
      <c r="H3">
        <v>37</v>
      </c>
      <c r="I3">
        <f t="shared" ref="I3:I5" si="0">H3-C3</f>
        <v>2</v>
      </c>
      <c r="J3" t="str">
        <f t="shared" ref="J3:J6" si="1">IF(H3=100, "yes", "no")</f>
        <v>no</v>
      </c>
    </row>
    <row r="4" spans="1:10" x14ac:dyDescent="0.25">
      <c r="A4">
        <f>IF(I3&gt;=B3, 1, A3+1)</f>
        <v>3</v>
      </c>
      <c r="B4">
        <f>IF(I3&gt;=B3, 10, B3-I3)</f>
        <v>15</v>
      </c>
      <c r="C4">
        <f>H3</f>
        <v>37</v>
      </c>
      <c r="D4" t="s">
        <v>13</v>
      </c>
      <c r="E4" t="s">
        <v>23</v>
      </c>
      <c r="F4" t="s">
        <v>14</v>
      </c>
      <c r="H4">
        <v>37</v>
      </c>
      <c r="I4">
        <f t="shared" si="0"/>
        <v>0</v>
      </c>
      <c r="J4" t="str">
        <f t="shared" si="1"/>
        <v>no</v>
      </c>
    </row>
    <row r="5" spans="1:10" x14ac:dyDescent="0.25">
      <c r="A5">
        <f>IF(I4&gt;=B4, 1, A4+1)</f>
        <v>4</v>
      </c>
      <c r="B5">
        <f>IF(I4&gt;=B4, 10, B4-I4)</f>
        <v>15</v>
      </c>
      <c r="C5">
        <f>H4</f>
        <v>37</v>
      </c>
      <c r="F5" t="s">
        <v>15</v>
      </c>
      <c r="I5">
        <f t="shared" si="0"/>
        <v>-37</v>
      </c>
      <c r="J5" t="str">
        <f t="shared" si="1"/>
        <v>no</v>
      </c>
    </row>
    <row r="6" spans="1:10" x14ac:dyDescent="0.25">
      <c r="A6">
        <v>1</v>
      </c>
      <c r="B6">
        <v>10</v>
      </c>
      <c r="C6">
        <v>25</v>
      </c>
      <c r="D6" t="s">
        <v>16</v>
      </c>
      <c r="E6" t="s">
        <v>22</v>
      </c>
      <c r="F6" t="s">
        <v>17</v>
      </c>
      <c r="G6">
        <v>53</v>
      </c>
      <c r="H6">
        <v>24</v>
      </c>
      <c r="I6">
        <f t="shared" ref="I6:I46" si="2">H6-C6</f>
        <v>-1</v>
      </c>
      <c r="J6" t="str">
        <f t="shared" si="1"/>
        <v>no</v>
      </c>
    </row>
    <row r="7" spans="1:10" x14ac:dyDescent="0.25">
      <c r="A7">
        <f t="shared" ref="A7:A12" si="3">IF(I6&gt;=B6, 1, A6+1)</f>
        <v>2</v>
      </c>
      <c r="B7">
        <f>IF(I6&gt;=B6, 10, B6-I6)</f>
        <v>11</v>
      </c>
      <c r="C7">
        <f>H6</f>
        <v>24</v>
      </c>
      <c r="D7" t="s">
        <v>16</v>
      </c>
      <c r="E7" t="s">
        <v>22</v>
      </c>
      <c r="F7" t="s">
        <v>17</v>
      </c>
      <c r="G7">
        <v>21</v>
      </c>
      <c r="H7">
        <v>24</v>
      </c>
      <c r="I7">
        <f t="shared" si="2"/>
        <v>0</v>
      </c>
      <c r="J7" t="str">
        <f t="shared" ref="J7:J46" si="4">IF(H7=100, "yes", "no")</f>
        <v>no</v>
      </c>
    </row>
    <row r="8" spans="1:10" x14ac:dyDescent="0.25">
      <c r="A8">
        <f t="shared" si="3"/>
        <v>3</v>
      </c>
      <c r="B8">
        <f>IF(I7&gt;=B7, 10, B7-I7)</f>
        <v>11</v>
      </c>
      <c r="C8">
        <f>H7</f>
        <v>24</v>
      </c>
      <c r="D8" t="s">
        <v>18</v>
      </c>
      <c r="E8" t="s">
        <v>23</v>
      </c>
      <c r="F8" t="s">
        <v>26</v>
      </c>
      <c r="G8">
        <v>2</v>
      </c>
      <c r="H8">
        <v>35</v>
      </c>
      <c r="I8">
        <f t="shared" si="2"/>
        <v>11</v>
      </c>
      <c r="J8" t="str">
        <f t="shared" si="4"/>
        <v>no</v>
      </c>
    </row>
    <row r="9" spans="1:10" x14ac:dyDescent="0.25">
      <c r="A9">
        <f t="shared" si="3"/>
        <v>1</v>
      </c>
      <c r="B9">
        <f>IF(I8&gt;=B8, 10, B8-I8)</f>
        <v>10</v>
      </c>
      <c r="C9">
        <f>H8</f>
        <v>35</v>
      </c>
      <c r="D9" t="s">
        <v>19</v>
      </c>
      <c r="E9" t="s">
        <v>22</v>
      </c>
      <c r="F9" t="s">
        <v>20</v>
      </c>
      <c r="G9">
        <v>13</v>
      </c>
      <c r="H9">
        <v>35</v>
      </c>
      <c r="I9">
        <f t="shared" si="2"/>
        <v>0</v>
      </c>
      <c r="J9" t="str">
        <f t="shared" si="4"/>
        <v>no</v>
      </c>
    </row>
    <row r="10" spans="1:10" x14ac:dyDescent="0.25">
      <c r="A10">
        <f t="shared" si="3"/>
        <v>2</v>
      </c>
      <c r="B10">
        <f>IF(I9&gt;=B9, 10, B9-I9)</f>
        <v>10</v>
      </c>
      <c r="C10">
        <f>H9</f>
        <v>35</v>
      </c>
      <c r="D10" t="s">
        <v>19</v>
      </c>
      <c r="E10" t="s">
        <v>22</v>
      </c>
      <c r="F10" t="s">
        <v>35</v>
      </c>
      <c r="G10">
        <v>75</v>
      </c>
      <c r="H10">
        <v>34</v>
      </c>
      <c r="I10">
        <f t="shared" si="2"/>
        <v>-1</v>
      </c>
      <c r="J10" t="str">
        <f t="shared" si="4"/>
        <v>no</v>
      </c>
    </row>
    <row r="11" spans="1:10" x14ac:dyDescent="0.25">
      <c r="A11">
        <f t="shared" si="3"/>
        <v>3</v>
      </c>
      <c r="B11">
        <v>16</v>
      </c>
      <c r="C11">
        <v>29</v>
      </c>
      <c r="D11" t="s">
        <v>21</v>
      </c>
      <c r="E11" t="s">
        <v>22</v>
      </c>
      <c r="F11" t="s">
        <v>17</v>
      </c>
      <c r="G11">
        <v>52</v>
      </c>
      <c r="H11">
        <v>33</v>
      </c>
      <c r="I11">
        <f t="shared" si="2"/>
        <v>4</v>
      </c>
      <c r="J11" t="str">
        <f t="shared" si="4"/>
        <v>no</v>
      </c>
    </row>
    <row r="12" spans="1:10" x14ac:dyDescent="0.25">
      <c r="A12">
        <f t="shared" si="3"/>
        <v>4</v>
      </c>
      <c r="B12">
        <f>IF(I11&gt;=B11, 10, B11-I11)</f>
        <v>12</v>
      </c>
      <c r="C12">
        <f>H11</f>
        <v>33</v>
      </c>
      <c r="F12" t="s">
        <v>15</v>
      </c>
      <c r="I12">
        <f t="shared" si="2"/>
        <v>-33</v>
      </c>
      <c r="J12" t="str">
        <f t="shared" si="4"/>
        <v>no</v>
      </c>
    </row>
    <row r="13" spans="1:10" x14ac:dyDescent="0.25">
      <c r="A13">
        <v>1</v>
      </c>
      <c r="B13">
        <v>10</v>
      </c>
      <c r="C13">
        <v>25</v>
      </c>
      <c r="D13" t="s">
        <v>21</v>
      </c>
      <c r="E13" t="s">
        <v>22</v>
      </c>
      <c r="F13" t="s">
        <v>34</v>
      </c>
      <c r="G13">
        <v>13</v>
      </c>
      <c r="H13">
        <v>25</v>
      </c>
      <c r="I13">
        <f t="shared" si="2"/>
        <v>0</v>
      </c>
      <c r="J13" t="str">
        <f t="shared" si="4"/>
        <v>no</v>
      </c>
    </row>
    <row r="14" spans="1:10" x14ac:dyDescent="0.25">
      <c r="A14">
        <f>IF(I13&gt;=B13, 1, A13+1)</f>
        <v>2</v>
      </c>
      <c r="B14">
        <f>IF(I13&gt;=B13, 10, B13-I13)</f>
        <v>10</v>
      </c>
      <c r="C14">
        <f>H13</f>
        <v>25</v>
      </c>
      <c r="D14" t="s">
        <v>24</v>
      </c>
      <c r="E14" t="s">
        <v>22</v>
      </c>
      <c r="F14" t="s">
        <v>17</v>
      </c>
      <c r="G14">
        <v>77</v>
      </c>
      <c r="H14">
        <v>25</v>
      </c>
      <c r="I14">
        <f t="shared" si="2"/>
        <v>0</v>
      </c>
      <c r="J14" t="str">
        <f t="shared" si="4"/>
        <v>no</v>
      </c>
    </row>
    <row r="15" spans="1:10" x14ac:dyDescent="0.25">
      <c r="A15">
        <f>IF(I14&gt;=B14, 1, A14+1)</f>
        <v>3</v>
      </c>
      <c r="B15">
        <f>IF(I14&gt;=B14, 10, B14-I14)</f>
        <v>10</v>
      </c>
      <c r="C15">
        <f>H14</f>
        <v>25</v>
      </c>
      <c r="D15" t="s">
        <v>24</v>
      </c>
      <c r="E15" t="s">
        <v>22</v>
      </c>
      <c r="F15" t="s">
        <v>33</v>
      </c>
      <c r="G15">
        <v>22</v>
      </c>
      <c r="H15">
        <v>31</v>
      </c>
      <c r="I15">
        <f t="shared" si="2"/>
        <v>6</v>
      </c>
      <c r="J15" t="str">
        <f t="shared" si="4"/>
        <v>no</v>
      </c>
    </row>
    <row r="16" spans="1:10" x14ac:dyDescent="0.25">
      <c r="A16">
        <f>IF(I15&gt;=B15, 1, A15+1)</f>
        <v>4</v>
      </c>
      <c r="B16">
        <f>IF(I15&gt;=B15, 10, B15-I15)</f>
        <v>4</v>
      </c>
      <c r="C16">
        <f>H15</f>
        <v>31</v>
      </c>
      <c r="F16" t="s">
        <v>15</v>
      </c>
      <c r="I16">
        <f t="shared" si="2"/>
        <v>-31</v>
      </c>
      <c r="J16" t="str">
        <f t="shared" si="4"/>
        <v>no</v>
      </c>
    </row>
    <row r="17" spans="1:10" x14ac:dyDescent="0.25">
      <c r="A17">
        <v>1</v>
      </c>
      <c r="B17">
        <v>10</v>
      </c>
      <c r="C17">
        <v>29</v>
      </c>
      <c r="D17" t="s">
        <v>25</v>
      </c>
      <c r="E17" t="s">
        <v>22</v>
      </c>
      <c r="F17" t="s">
        <v>17</v>
      </c>
      <c r="G17">
        <v>52</v>
      </c>
      <c r="H17">
        <v>30</v>
      </c>
      <c r="I17">
        <f t="shared" si="2"/>
        <v>1</v>
      </c>
      <c r="J17" t="str">
        <f t="shared" si="4"/>
        <v>no</v>
      </c>
    </row>
    <row r="18" spans="1:10" x14ac:dyDescent="0.25">
      <c r="A18">
        <f t="shared" ref="A18:A26" si="5">IF(I17&gt;=B17, 1, A17+1)</f>
        <v>2</v>
      </c>
      <c r="B18">
        <f t="shared" ref="B18:B24" si="6">IF(I17&gt;=B17, 10, B17-I17)</f>
        <v>9</v>
      </c>
      <c r="C18">
        <f>H17</f>
        <v>30</v>
      </c>
      <c r="D18" t="s">
        <v>24</v>
      </c>
      <c r="E18" t="s">
        <v>23</v>
      </c>
      <c r="F18" t="s">
        <v>26</v>
      </c>
      <c r="G18">
        <v>4</v>
      </c>
      <c r="H18">
        <v>43</v>
      </c>
      <c r="I18">
        <f t="shared" si="2"/>
        <v>13</v>
      </c>
      <c r="J18" t="str">
        <f t="shared" si="4"/>
        <v>no</v>
      </c>
    </row>
    <row r="19" spans="1:10" x14ac:dyDescent="0.25">
      <c r="A19">
        <f t="shared" si="5"/>
        <v>1</v>
      </c>
      <c r="B19">
        <f t="shared" si="6"/>
        <v>10</v>
      </c>
      <c r="C19">
        <f>H18</f>
        <v>43</v>
      </c>
      <c r="D19" t="s">
        <v>25</v>
      </c>
      <c r="E19" t="s">
        <v>22</v>
      </c>
      <c r="F19" t="s">
        <v>20</v>
      </c>
      <c r="G19">
        <v>20</v>
      </c>
      <c r="H19">
        <v>50</v>
      </c>
      <c r="I19">
        <f t="shared" si="2"/>
        <v>7</v>
      </c>
      <c r="J19" t="str">
        <f t="shared" si="4"/>
        <v>no</v>
      </c>
    </row>
    <row r="20" spans="1:10" x14ac:dyDescent="0.25">
      <c r="A20">
        <f t="shared" si="5"/>
        <v>2</v>
      </c>
      <c r="B20">
        <f t="shared" si="6"/>
        <v>3</v>
      </c>
      <c r="C20">
        <f>H19</f>
        <v>50</v>
      </c>
      <c r="D20" t="s">
        <v>25</v>
      </c>
      <c r="E20" t="s">
        <v>23</v>
      </c>
      <c r="F20" t="s">
        <v>14</v>
      </c>
      <c r="H20">
        <v>100</v>
      </c>
      <c r="I20">
        <f t="shared" si="2"/>
        <v>50</v>
      </c>
      <c r="J20" t="str">
        <f t="shared" si="4"/>
        <v>yes</v>
      </c>
    </row>
    <row r="21" spans="1:10" x14ac:dyDescent="0.25">
      <c r="A21">
        <f t="shared" si="5"/>
        <v>1</v>
      </c>
      <c r="B21">
        <f t="shared" si="6"/>
        <v>10</v>
      </c>
      <c r="C21">
        <v>30</v>
      </c>
      <c r="D21" t="s">
        <v>21</v>
      </c>
      <c r="E21" t="s">
        <v>22</v>
      </c>
      <c r="F21" t="s">
        <v>17</v>
      </c>
      <c r="G21">
        <v>13</v>
      </c>
      <c r="H21">
        <v>31</v>
      </c>
      <c r="I21">
        <f t="shared" si="2"/>
        <v>1</v>
      </c>
      <c r="J21" t="str">
        <f t="shared" si="4"/>
        <v>no</v>
      </c>
    </row>
    <row r="22" spans="1:10" x14ac:dyDescent="0.25">
      <c r="A22">
        <f t="shared" si="5"/>
        <v>2</v>
      </c>
      <c r="B22">
        <f t="shared" si="6"/>
        <v>9</v>
      </c>
      <c r="C22">
        <f>H21</f>
        <v>31</v>
      </c>
      <c r="D22" t="s">
        <v>25</v>
      </c>
      <c r="E22" t="s">
        <v>23</v>
      </c>
      <c r="F22" t="s">
        <v>27</v>
      </c>
      <c r="G22">
        <v>2</v>
      </c>
      <c r="H22">
        <v>63</v>
      </c>
      <c r="I22">
        <f t="shared" si="2"/>
        <v>32</v>
      </c>
      <c r="J22" t="str">
        <f t="shared" si="4"/>
        <v>no</v>
      </c>
    </row>
    <row r="23" spans="1:10" x14ac:dyDescent="0.25">
      <c r="A23">
        <f t="shared" si="5"/>
        <v>1</v>
      </c>
      <c r="B23">
        <f t="shared" si="6"/>
        <v>10</v>
      </c>
      <c r="C23">
        <f>H22</f>
        <v>63</v>
      </c>
      <c r="D23" t="s">
        <v>21</v>
      </c>
      <c r="E23" t="s">
        <v>22</v>
      </c>
      <c r="F23" t="s">
        <v>28</v>
      </c>
      <c r="G23">
        <v>58</v>
      </c>
      <c r="H23">
        <v>63</v>
      </c>
      <c r="I23">
        <f t="shared" si="2"/>
        <v>0</v>
      </c>
      <c r="J23" t="str">
        <f t="shared" si="4"/>
        <v>no</v>
      </c>
    </row>
    <row r="24" spans="1:10" x14ac:dyDescent="0.25">
      <c r="A24">
        <f t="shared" si="5"/>
        <v>2</v>
      </c>
      <c r="B24">
        <f t="shared" si="6"/>
        <v>10</v>
      </c>
      <c r="C24">
        <f>H23</f>
        <v>63</v>
      </c>
      <c r="D24" t="s">
        <v>29</v>
      </c>
      <c r="E24" t="s">
        <v>23</v>
      </c>
      <c r="G24">
        <v>13</v>
      </c>
      <c r="H24">
        <v>63</v>
      </c>
      <c r="I24">
        <f t="shared" si="2"/>
        <v>0</v>
      </c>
      <c r="J24" t="str">
        <f t="shared" si="4"/>
        <v>no</v>
      </c>
    </row>
    <row r="25" spans="1:10" x14ac:dyDescent="0.25">
      <c r="A25">
        <f t="shared" si="5"/>
        <v>3</v>
      </c>
      <c r="B25">
        <v>15</v>
      </c>
      <c r="C25">
        <v>58</v>
      </c>
      <c r="D25" t="s">
        <v>10</v>
      </c>
      <c r="E25" t="s">
        <v>23</v>
      </c>
      <c r="F25" t="s">
        <v>30</v>
      </c>
      <c r="G25">
        <v>22</v>
      </c>
      <c r="H25">
        <v>56</v>
      </c>
      <c r="I25">
        <f t="shared" si="2"/>
        <v>-2</v>
      </c>
      <c r="J25" t="str">
        <f t="shared" si="4"/>
        <v>no</v>
      </c>
    </row>
    <row r="26" spans="1:10" x14ac:dyDescent="0.25">
      <c r="A26">
        <f t="shared" si="5"/>
        <v>4</v>
      </c>
      <c r="B26">
        <f>IF(I25&gt;=B25, 10, B25-I25)</f>
        <v>17</v>
      </c>
      <c r="C26">
        <f>H25</f>
        <v>56</v>
      </c>
      <c r="F26" t="s">
        <v>15</v>
      </c>
      <c r="I26">
        <f t="shared" si="2"/>
        <v>-56</v>
      </c>
      <c r="J26" t="str">
        <f t="shared" si="4"/>
        <v>no</v>
      </c>
    </row>
    <row r="27" spans="1:10" x14ac:dyDescent="0.25">
      <c r="A27">
        <v>1</v>
      </c>
      <c r="B27">
        <v>10</v>
      </c>
      <c r="C27">
        <v>54</v>
      </c>
      <c r="D27" t="s">
        <v>24</v>
      </c>
      <c r="E27" t="s">
        <v>22</v>
      </c>
      <c r="F27" t="s">
        <v>28</v>
      </c>
      <c r="G27">
        <v>75</v>
      </c>
      <c r="H27">
        <v>52</v>
      </c>
      <c r="I27">
        <f t="shared" si="2"/>
        <v>-2</v>
      </c>
      <c r="J27" t="str">
        <f t="shared" si="4"/>
        <v>no</v>
      </c>
    </row>
    <row r="28" spans="1:10" x14ac:dyDescent="0.25">
      <c r="A28">
        <f>IF(I27&gt;=B27, 1, A27+1)</f>
        <v>2</v>
      </c>
      <c r="B28">
        <f>IF(I27&gt;=B27, 10, B27-I27)</f>
        <v>12</v>
      </c>
      <c r="C28">
        <f>H27</f>
        <v>52</v>
      </c>
      <c r="D28" t="s">
        <v>25</v>
      </c>
      <c r="E28" t="s">
        <v>22</v>
      </c>
      <c r="F28" t="s">
        <v>17</v>
      </c>
      <c r="G28">
        <v>20</v>
      </c>
      <c r="H28">
        <v>53</v>
      </c>
      <c r="I28">
        <f t="shared" si="2"/>
        <v>1</v>
      </c>
      <c r="J28" t="str">
        <f t="shared" si="4"/>
        <v>no</v>
      </c>
    </row>
    <row r="29" spans="1:10" x14ac:dyDescent="0.25">
      <c r="A29">
        <f>IF(I28&gt;=B28, 1, A28+1)</f>
        <v>3</v>
      </c>
      <c r="B29">
        <f>IF(I28&gt;=B28, 10, B28-I28)</f>
        <v>11</v>
      </c>
      <c r="C29">
        <f>H28</f>
        <v>53</v>
      </c>
      <c r="D29" t="s">
        <v>25</v>
      </c>
      <c r="E29" t="s">
        <v>23</v>
      </c>
      <c r="F29" t="s">
        <v>26</v>
      </c>
      <c r="H29">
        <v>53</v>
      </c>
      <c r="I29">
        <f t="shared" si="2"/>
        <v>0</v>
      </c>
      <c r="J29" t="str">
        <f t="shared" si="4"/>
        <v>no</v>
      </c>
    </row>
    <row r="30" spans="1:10" x14ac:dyDescent="0.25">
      <c r="A30">
        <f>IF(I29&gt;=B29, 1, A29+1)</f>
        <v>4</v>
      </c>
      <c r="B30">
        <f>IF(I29&gt;=B29, 10, B29-I29)</f>
        <v>11</v>
      </c>
      <c r="C30">
        <f>H29</f>
        <v>53</v>
      </c>
      <c r="F30" t="s">
        <v>15</v>
      </c>
      <c r="I30">
        <f t="shared" si="2"/>
        <v>-53</v>
      </c>
      <c r="J30" t="str">
        <f t="shared" si="4"/>
        <v>no</v>
      </c>
    </row>
    <row r="31" spans="1:10" x14ac:dyDescent="0.25">
      <c r="A31">
        <v>1</v>
      </c>
      <c r="B31">
        <v>10</v>
      </c>
      <c r="C31">
        <v>47</v>
      </c>
      <c r="D31" t="s">
        <v>25</v>
      </c>
      <c r="E31" t="s">
        <v>23</v>
      </c>
      <c r="F31" t="s">
        <v>26</v>
      </c>
      <c r="H31">
        <v>47</v>
      </c>
      <c r="I31">
        <f t="shared" si="2"/>
        <v>0</v>
      </c>
      <c r="J31" t="str">
        <f t="shared" si="4"/>
        <v>no</v>
      </c>
    </row>
    <row r="32" spans="1:10" x14ac:dyDescent="0.25">
      <c r="A32">
        <f>IF(I31&gt;=B31, 1, A31+1)</f>
        <v>2</v>
      </c>
      <c r="B32">
        <v>20</v>
      </c>
      <c r="C32">
        <v>37</v>
      </c>
      <c r="D32" t="s">
        <v>29</v>
      </c>
      <c r="E32" t="s">
        <v>23</v>
      </c>
      <c r="F32" t="s">
        <v>26</v>
      </c>
      <c r="H32">
        <v>37</v>
      </c>
      <c r="I32">
        <f t="shared" si="2"/>
        <v>0</v>
      </c>
      <c r="J32" t="str">
        <f t="shared" si="4"/>
        <v>no</v>
      </c>
    </row>
    <row r="33" spans="1:10" x14ac:dyDescent="0.25">
      <c r="A33">
        <f>IF(I32&gt;=B32, 1, A32+1)</f>
        <v>3</v>
      </c>
      <c r="B33">
        <f>IF(I32&gt;=B32, 10, B32-I32)</f>
        <v>20</v>
      </c>
      <c r="C33">
        <f>H32</f>
        <v>37</v>
      </c>
      <c r="D33" t="s">
        <v>24</v>
      </c>
      <c r="E33" t="s">
        <v>22</v>
      </c>
      <c r="F33" t="s">
        <v>20</v>
      </c>
      <c r="G33">
        <v>13</v>
      </c>
      <c r="H33">
        <v>38</v>
      </c>
      <c r="I33">
        <f t="shared" si="2"/>
        <v>1</v>
      </c>
      <c r="J33" t="str">
        <f t="shared" si="4"/>
        <v>no</v>
      </c>
    </row>
    <row r="34" spans="1:10" x14ac:dyDescent="0.25">
      <c r="A34">
        <f>IF(I33&gt;=B33, 1, A33+1)</f>
        <v>4</v>
      </c>
      <c r="B34">
        <f>IF(I33&gt;=B33, 10, B33-I33)</f>
        <v>19</v>
      </c>
      <c r="C34">
        <f>H33</f>
        <v>38</v>
      </c>
      <c r="F34" t="s">
        <v>15</v>
      </c>
      <c r="I34">
        <f t="shared" si="2"/>
        <v>-38</v>
      </c>
      <c r="J34" t="str">
        <f t="shared" si="4"/>
        <v>no</v>
      </c>
    </row>
    <row r="35" spans="1:10" x14ac:dyDescent="0.25">
      <c r="A35">
        <v>1</v>
      </c>
      <c r="B35">
        <v>10</v>
      </c>
      <c r="C35">
        <v>36</v>
      </c>
      <c r="D35" t="s">
        <v>25</v>
      </c>
      <c r="E35" t="s">
        <v>22</v>
      </c>
      <c r="F35" t="s">
        <v>28</v>
      </c>
      <c r="G35">
        <v>52</v>
      </c>
      <c r="H35">
        <v>30</v>
      </c>
      <c r="I35">
        <f t="shared" si="2"/>
        <v>-6</v>
      </c>
      <c r="J35" t="str">
        <f t="shared" si="4"/>
        <v>no</v>
      </c>
    </row>
    <row r="36" spans="1:10" x14ac:dyDescent="0.25">
      <c r="A36">
        <f>IF(I35&gt;=B35, 1, A35+1)</f>
        <v>2</v>
      </c>
      <c r="B36">
        <f>IF(I35&gt;=B35, 10, B35-I35)</f>
        <v>16</v>
      </c>
      <c r="C36">
        <f>H35</f>
        <v>30</v>
      </c>
      <c r="D36" t="s">
        <v>31</v>
      </c>
      <c r="E36" t="s">
        <v>22</v>
      </c>
      <c r="F36" t="s">
        <v>32</v>
      </c>
      <c r="G36">
        <v>67</v>
      </c>
      <c r="H36">
        <v>31</v>
      </c>
      <c r="I36">
        <f t="shared" si="2"/>
        <v>1</v>
      </c>
      <c r="J36" t="str">
        <f t="shared" si="4"/>
        <v>no</v>
      </c>
    </row>
    <row r="37" spans="1:10" x14ac:dyDescent="0.25">
      <c r="A37">
        <f>IF(I36&gt;=B36, 1, A36+1)</f>
        <v>3</v>
      </c>
      <c r="B37">
        <f>IF(I36&gt;=B36, 10, B36-I36)</f>
        <v>15</v>
      </c>
      <c r="C37">
        <f>H36</f>
        <v>31</v>
      </c>
      <c r="D37" t="s">
        <v>21</v>
      </c>
      <c r="E37" t="s">
        <v>22</v>
      </c>
      <c r="F37" t="s">
        <v>17</v>
      </c>
      <c r="G37">
        <v>13</v>
      </c>
      <c r="H37">
        <v>31</v>
      </c>
      <c r="I37">
        <f t="shared" si="2"/>
        <v>0</v>
      </c>
      <c r="J37" t="str">
        <f t="shared" si="4"/>
        <v>no</v>
      </c>
    </row>
    <row r="38" spans="1:10" x14ac:dyDescent="0.25">
      <c r="A38">
        <f>IF(I37&gt;=B37, 1, A37+1)</f>
        <v>4</v>
      </c>
      <c r="B38">
        <f>IF(I37&gt;=B37, 10, B37-I37)</f>
        <v>15</v>
      </c>
      <c r="C38">
        <f>H37</f>
        <v>31</v>
      </c>
      <c r="F38" t="s">
        <v>15</v>
      </c>
      <c r="I38">
        <f t="shared" si="2"/>
        <v>-31</v>
      </c>
      <c r="J38" t="str">
        <f t="shared" si="4"/>
        <v>no</v>
      </c>
    </row>
    <row r="39" spans="1:10" x14ac:dyDescent="0.25">
      <c r="A39">
        <v>1</v>
      </c>
      <c r="B39">
        <v>10</v>
      </c>
      <c r="C39">
        <v>44</v>
      </c>
      <c r="D39" t="s">
        <v>25</v>
      </c>
      <c r="E39" t="s">
        <v>22</v>
      </c>
      <c r="F39" t="s">
        <v>17</v>
      </c>
      <c r="G39">
        <v>13</v>
      </c>
      <c r="H39">
        <v>41</v>
      </c>
      <c r="I39">
        <f t="shared" si="2"/>
        <v>-3</v>
      </c>
      <c r="J39" t="str">
        <f t="shared" si="4"/>
        <v>no</v>
      </c>
    </row>
    <row r="40" spans="1:10" x14ac:dyDescent="0.25">
      <c r="A40">
        <f>IF(I39&gt;=B39, 1, A39+1)</f>
        <v>2</v>
      </c>
      <c r="B40">
        <f>IF(I39&gt;=B39, 10, B39-I39)</f>
        <v>13</v>
      </c>
      <c r="C40">
        <f>H39</f>
        <v>41</v>
      </c>
      <c r="D40" t="s">
        <v>24</v>
      </c>
      <c r="E40" t="s">
        <v>22</v>
      </c>
      <c r="F40" t="s">
        <v>20</v>
      </c>
      <c r="G40">
        <v>13</v>
      </c>
      <c r="H40">
        <v>41</v>
      </c>
      <c r="I40">
        <f t="shared" si="2"/>
        <v>0</v>
      </c>
      <c r="J40" t="str">
        <f t="shared" si="4"/>
        <v>no</v>
      </c>
    </row>
    <row r="41" spans="1:10" x14ac:dyDescent="0.25">
      <c r="A41">
        <f>IF(I40&gt;=B40, 1, A40+1)</f>
        <v>3</v>
      </c>
      <c r="B41">
        <f>IF(I40&gt;=B40, 10, B40-I40)</f>
        <v>13</v>
      </c>
      <c r="C41">
        <f>H40</f>
        <v>41</v>
      </c>
      <c r="D41" t="s">
        <v>25</v>
      </c>
      <c r="E41" t="s">
        <v>23</v>
      </c>
      <c r="F41" t="s">
        <v>30</v>
      </c>
      <c r="G41">
        <v>21</v>
      </c>
      <c r="H41">
        <v>45</v>
      </c>
      <c r="I41">
        <f t="shared" si="2"/>
        <v>4</v>
      </c>
      <c r="J41" t="str">
        <f t="shared" si="4"/>
        <v>no</v>
      </c>
    </row>
    <row r="42" spans="1:10" x14ac:dyDescent="0.25">
      <c r="A42">
        <f>IF(I41&gt;=B41, 1, A41+1)</f>
        <v>4</v>
      </c>
      <c r="B42">
        <f>IF(I41&gt;=B41, 10, B41-I41)</f>
        <v>9</v>
      </c>
      <c r="C42">
        <f>H41</f>
        <v>45</v>
      </c>
      <c r="F42" t="s">
        <v>15</v>
      </c>
      <c r="I42">
        <f t="shared" si="2"/>
        <v>-45</v>
      </c>
      <c r="J42" t="str">
        <f t="shared" si="4"/>
        <v>no</v>
      </c>
    </row>
    <row r="43" spans="1:10" x14ac:dyDescent="0.25">
      <c r="A43">
        <v>1</v>
      </c>
      <c r="B43">
        <v>10</v>
      </c>
      <c r="C43">
        <v>25</v>
      </c>
      <c r="D43" t="s">
        <v>19</v>
      </c>
      <c r="E43" t="s">
        <v>22</v>
      </c>
      <c r="F43" t="s">
        <v>17</v>
      </c>
      <c r="G43">
        <v>12</v>
      </c>
      <c r="H43">
        <v>29</v>
      </c>
      <c r="I43">
        <f t="shared" si="2"/>
        <v>4</v>
      </c>
      <c r="J43" t="str">
        <f t="shared" si="4"/>
        <v>no</v>
      </c>
    </row>
    <row r="44" spans="1:10" x14ac:dyDescent="0.25">
      <c r="A44">
        <f>IF(I43&gt;=B43, 1, A43+1)</f>
        <v>2</v>
      </c>
      <c r="B44">
        <f>IF(I43&gt;=B43, 10, B43-I43)</f>
        <v>6</v>
      </c>
      <c r="C44">
        <f>H43</f>
        <v>29</v>
      </c>
      <c r="D44" t="s">
        <v>21</v>
      </c>
      <c r="E44" t="s">
        <v>22</v>
      </c>
      <c r="F44" t="s">
        <v>20</v>
      </c>
      <c r="H44">
        <v>24</v>
      </c>
      <c r="I44">
        <f t="shared" si="2"/>
        <v>-5</v>
      </c>
      <c r="J44" t="str">
        <f t="shared" si="4"/>
        <v>no</v>
      </c>
    </row>
    <row r="45" spans="1:10" x14ac:dyDescent="0.25">
      <c r="A45">
        <f>IF(I44&gt;=B44, 1, A44+1)</f>
        <v>3</v>
      </c>
      <c r="B45">
        <f>IF(I44&gt;=B44, 10, B44-I44)</f>
        <v>11</v>
      </c>
      <c r="C45">
        <f>H44</f>
        <v>24</v>
      </c>
      <c r="D45" t="s">
        <v>21</v>
      </c>
      <c r="E45" t="s">
        <v>23</v>
      </c>
      <c r="F45" t="s">
        <v>14</v>
      </c>
      <c r="H45">
        <v>24</v>
      </c>
      <c r="I45">
        <f t="shared" si="2"/>
        <v>0</v>
      </c>
      <c r="J45" t="str">
        <f t="shared" si="4"/>
        <v>no</v>
      </c>
    </row>
    <row r="46" spans="1:10" x14ac:dyDescent="0.25">
      <c r="A46">
        <f>IF(I45&gt;=B45, 1, A45+1)</f>
        <v>4</v>
      </c>
      <c r="B46">
        <f>IF(I45&gt;=B45, 10, B45-I45)</f>
        <v>11</v>
      </c>
      <c r="C46">
        <f>H45</f>
        <v>24</v>
      </c>
      <c r="F46" t="s">
        <v>15</v>
      </c>
      <c r="I46">
        <f t="shared" si="2"/>
        <v>-24</v>
      </c>
      <c r="J46" t="str">
        <f t="shared" si="4"/>
        <v>no</v>
      </c>
    </row>
  </sheetData>
  <dataValidations count="3">
    <dataValidation type="list" allowBlank="1" showInputMessage="1" showErrorMessage="1" sqref="E1:E1048576" xr:uid="{2AF6625C-C90D-4607-BE0F-A136EF2BCE2E}">
      <formula1>"run, pass"</formula1>
    </dataValidation>
    <dataValidation type="list" allowBlank="1" showInputMessage="1" showErrorMessage="1" sqref="D1:D1048576" xr:uid="{0E35A9A3-2EE6-4D25-A742-E819B398EC0C}">
      <formula1>"Gun WR, Gun WL, BSR WR, BSR WL, BSL WR, BSL WL, Gun BSR, Gun BSL, BSR TE R, BSR TE L, BSL TE R, BSL TE L, Trips R, Trips L, Doubles, Doubles Stack"</formula1>
    </dataValidation>
    <dataValidation type="list" allowBlank="1" showInputMessage="1" showErrorMessage="1" sqref="F37:F1048576 F16:F35 F14 F11:F12 F1 F3:F9" xr:uid="{7A714585-C039-4874-B15B-AC258E4B1BB4}">
      <formula1>"Punt, Dive, Lead, Stretch Left, Stretch Right, Toss Left, Toss Right, Trap Left, Trap Right, Quick Screen Left, Quick Screen Right, Slant, Curl, Out, Corner, Post, Go, Drag, Bubble Left, Bubble Right, Pick Pass, Zone Read, Comeback, Zone Read, SwpL, SwpR"</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780C0-8635-420B-B222-D58288E5E26D}">
  <dimension ref="A3:D6"/>
  <sheetViews>
    <sheetView workbookViewId="0">
      <selection activeCell="C3" sqref="C3:C6"/>
    </sheetView>
  </sheetViews>
  <sheetFormatPr defaultRowHeight="15" x14ac:dyDescent="0.25"/>
  <cols>
    <col min="1" max="1" width="13.42578125" bestFit="1" customWidth="1"/>
    <col min="2" max="2" width="16.140625" bestFit="1" customWidth="1"/>
    <col min="3" max="3" width="15.5703125" bestFit="1" customWidth="1"/>
    <col min="4" max="4" width="18.85546875" bestFit="1" customWidth="1"/>
  </cols>
  <sheetData>
    <row r="3" spans="1:4" x14ac:dyDescent="0.25">
      <c r="A3" s="1" t="s">
        <v>36</v>
      </c>
      <c r="B3" t="s">
        <v>39</v>
      </c>
      <c r="C3" t="s">
        <v>38</v>
      </c>
      <c r="D3" t="s">
        <v>40</v>
      </c>
    </row>
    <row r="4" spans="1:4" x14ac:dyDescent="0.25">
      <c r="A4" s="2" t="s">
        <v>23</v>
      </c>
      <c r="B4" s="3">
        <v>13</v>
      </c>
      <c r="C4" s="3">
        <v>110</v>
      </c>
      <c r="D4" s="3">
        <v>8.4615384615384617</v>
      </c>
    </row>
    <row r="5" spans="1:4" x14ac:dyDescent="0.25">
      <c r="A5" s="2" t="s">
        <v>22</v>
      </c>
      <c r="B5" s="3">
        <v>23</v>
      </c>
      <c r="C5" s="3">
        <v>6</v>
      </c>
      <c r="D5" s="3">
        <v>0.2608695652173913</v>
      </c>
    </row>
    <row r="6" spans="1:4" x14ac:dyDescent="0.25">
      <c r="A6" s="2" t="s">
        <v>37</v>
      </c>
      <c r="B6" s="3">
        <v>36</v>
      </c>
      <c r="C6" s="3">
        <v>116</v>
      </c>
      <c r="D6" s="3">
        <v>3.2222222222222223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D898E-7713-496A-B086-A363D42E900E}">
  <dimension ref="A3:D15"/>
  <sheetViews>
    <sheetView workbookViewId="0">
      <selection activeCell="G19" sqref="G19"/>
    </sheetView>
  </sheetViews>
  <sheetFormatPr defaultRowHeight="15" x14ac:dyDescent="0.25"/>
  <cols>
    <col min="1" max="1" width="13.42578125" bestFit="1" customWidth="1"/>
    <col min="2" max="2" width="16.140625" bestFit="1" customWidth="1"/>
    <col min="3" max="3" width="15.5703125" bestFit="1" customWidth="1"/>
    <col min="4" max="4" width="18.85546875" bestFit="1" customWidth="1"/>
  </cols>
  <sheetData>
    <row r="3" spans="1:4" x14ac:dyDescent="0.25">
      <c r="A3" s="1" t="s">
        <v>36</v>
      </c>
      <c r="B3" t="s">
        <v>39</v>
      </c>
      <c r="C3" t="s">
        <v>38</v>
      </c>
      <c r="D3" t="s">
        <v>40</v>
      </c>
    </row>
    <row r="4" spans="1:4" x14ac:dyDescent="0.25">
      <c r="A4" s="2" t="s">
        <v>21</v>
      </c>
      <c r="B4" s="3">
        <v>7</v>
      </c>
      <c r="C4" s="3">
        <v>0</v>
      </c>
      <c r="D4" s="3">
        <v>0</v>
      </c>
    </row>
    <row r="5" spans="1:4" x14ac:dyDescent="0.25">
      <c r="A5" s="2" t="s">
        <v>19</v>
      </c>
      <c r="B5" s="3">
        <v>3</v>
      </c>
      <c r="C5" s="3">
        <v>3</v>
      </c>
      <c r="D5" s="3">
        <v>1</v>
      </c>
    </row>
    <row r="6" spans="1:4" x14ac:dyDescent="0.25">
      <c r="A6" s="2" t="s">
        <v>10</v>
      </c>
      <c r="B6" s="3">
        <v>2</v>
      </c>
      <c r="C6" s="3">
        <v>-4</v>
      </c>
      <c r="D6" s="3">
        <v>-2</v>
      </c>
    </row>
    <row r="7" spans="1:4" x14ac:dyDescent="0.25">
      <c r="A7" s="2" t="s">
        <v>18</v>
      </c>
      <c r="B7" s="3">
        <v>1</v>
      </c>
      <c r="C7" s="3">
        <v>11</v>
      </c>
      <c r="D7" s="3">
        <v>11</v>
      </c>
    </row>
    <row r="8" spans="1:4" x14ac:dyDescent="0.25">
      <c r="A8" s="2" t="s">
        <v>31</v>
      </c>
      <c r="B8" s="3">
        <v>1</v>
      </c>
      <c r="C8" s="3">
        <v>1</v>
      </c>
      <c r="D8" s="3">
        <v>1</v>
      </c>
    </row>
    <row r="9" spans="1:4" x14ac:dyDescent="0.25">
      <c r="A9" s="2" t="s">
        <v>13</v>
      </c>
      <c r="B9" s="3">
        <v>1</v>
      </c>
      <c r="C9" s="3">
        <v>0</v>
      </c>
      <c r="D9" s="3">
        <v>0</v>
      </c>
    </row>
    <row r="10" spans="1:4" x14ac:dyDescent="0.25">
      <c r="A10" s="2" t="s">
        <v>25</v>
      </c>
      <c r="B10" s="3">
        <v>10</v>
      </c>
      <c r="C10" s="3">
        <v>86</v>
      </c>
      <c r="D10" s="3">
        <v>8.6</v>
      </c>
    </row>
    <row r="11" spans="1:4" x14ac:dyDescent="0.25">
      <c r="A11" s="2" t="s">
        <v>24</v>
      </c>
      <c r="B11" s="3">
        <v>6</v>
      </c>
      <c r="C11" s="3">
        <v>18</v>
      </c>
      <c r="D11" s="3">
        <v>3</v>
      </c>
    </row>
    <row r="12" spans="1:4" x14ac:dyDescent="0.25">
      <c r="A12" s="2" t="s">
        <v>16</v>
      </c>
      <c r="B12" s="3">
        <v>2</v>
      </c>
      <c r="C12" s="3">
        <v>-1</v>
      </c>
      <c r="D12" s="3">
        <v>-0.5</v>
      </c>
    </row>
    <row r="13" spans="1:4" x14ac:dyDescent="0.25">
      <c r="A13" s="2" t="s">
        <v>29</v>
      </c>
      <c r="B13" s="3">
        <v>2</v>
      </c>
      <c r="C13" s="3">
        <v>0</v>
      </c>
      <c r="D13" s="3">
        <v>0</v>
      </c>
    </row>
    <row r="14" spans="1:4" x14ac:dyDescent="0.25">
      <c r="A14" s="2" t="s">
        <v>11</v>
      </c>
      <c r="B14" s="3">
        <v>1</v>
      </c>
      <c r="C14" s="3">
        <v>2</v>
      </c>
      <c r="D14" s="3">
        <v>2</v>
      </c>
    </row>
    <row r="15" spans="1:4" x14ac:dyDescent="0.25">
      <c r="A15" s="2" t="s">
        <v>37</v>
      </c>
      <c r="B15" s="3">
        <v>36</v>
      </c>
      <c r="C15" s="3">
        <v>116</v>
      </c>
      <c r="D15" s="3">
        <v>3.2222222222222223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29B2B-823A-476C-BFF2-E25950F1BDBF}">
  <dimension ref="A3:C7"/>
  <sheetViews>
    <sheetView workbookViewId="0">
      <selection activeCell="G26" sqref="G26"/>
    </sheetView>
  </sheetViews>
  <sheetFormatPr defaultRowHeight="15" x14ac:dyDescent="0.25"/>
  <cols>
    <col min="1" max="1" width="17.42578125" bestFit="1" customWidth="1"/>
    <col min="2" max="2" width="16.85546875" bestFit="1" customWidth="1"/>
    <col min="3" max="3" width="11.28515625" bestFit="1" customWidth="1"/>
  </cols>
  <sheetData>
    <row r="3" spans="1:3" x14ac:dyDescent="0.25">
      <c r="A3" s="1" t="s">
        <v>42</v>
      </c>
      <c r="B3" s="1" t="s">
        <v>43</v>
      </c>
    </row>
    <row r="4" spans="1:3" x14ac:dyDescent="0.25">
      <c r="A4" s="1" t="s">
        <v>36</v>
      </c>
      <c r="B4" t="s">
        <v>23</v>
      </c>
      <c r="C4" t="s">
        <v>37</v>
      </c>
    </row>
    <row r="5" spans="1:3" x14ac:dyDescent="0.25">
      <c r="A5" s="2" t="s">
        <v>41</v>
      </c>
      <c r="B5" s="3">
        <v>1</v>
      </c>
      <c r="C5" s="3">
        <v>1</v>
      </c>
    </row>
    <row r="6" spans="1:3" x14ac:dyDescent="0.25">
      <c r="A6" s="4" t="s">
        <v>25</v>
      </c>
      <c r="B6" s="3">
        <v>1</v>
      </c>
      <c r="C6" s="3">
        <v>1</v>
      </c>
    </row>
    <row r="7" spans="1:3" x14ac:dyDescent="0.25">
      <c r="A7" s="2" t="s">
        <v>37</v>
      </c>
      <c r="B7" s="3">
        <v>1</v>
      </c>
      <c r="C7" s="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Play By Play</vt:lpstr>
      <vt:lpstr>Run_Pass_Stats</vt:lpstr>
      <vt:lpstr>Formation_Stats</vt:lpstr>
      <vt:lpstr>TD_Stats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Tanner Corn</dc:creator>
  <cp:lastModifiedBy>Tanner Corn</cp:lastModifiedBy>
  <dcterms:created xsi:type="dcterms:W3CDTF">2025-10-23T05:12:13Z</dcterms:created>
  <dcterms:modified xsi:type="dcterms:W3CDTF">2025-10-28T01:20:48Z</dcterms:modified>
</cp:coreProperties>
</file>