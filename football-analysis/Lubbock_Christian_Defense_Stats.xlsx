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8fee492536875354/Documents/"/>
    </mc:Choice>
  </mc:AlternateContent>
  <xr:revisionPtr revIDLastSave="72" documentId="8_{0A322C6A-6973-4E77-B3F5-05C0A4FE5A5B}" xr6:coauthVersionLast="47" xr6:coauthVersionMax="47" xr10:uidLastSave="{2B7677AB-7EC7-43E0-97C3-2079C7B9C961}"/>
  <bookViews>
    <workbookView xWindow="-120" yWindow="-120" windowWidth="23280" windowHeight="14880" xr2:uid="{FC1DE3CD-4102-4C12-B5A3-DFC065EDCB11}"/>
  </bookViews>
  <sheets>
    <sheet name="Play By Play" sheetId="1" r:id="rId1"/>
    <sheet name="Run_Pass_Stats" sheetId="2" r:id="rId2"/>
    <sheet name="Formation_Stats" sheetId="3" r:id="rId3"/>
    <sheet name="TD_Stats" sheetId="4" r:id="rId4"/>
  </sheets>
  <calcPr calcId="191029"/>
  <pivotCaches>
    <pivotCache cacheId="9" r:id="rId5"/>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3" i="1" l="1"/>
  <c r="I63" i="1" s="1"/>
  <c r="J63" i="1"/>
  <c r="C62" i="1"/>
  <c r="I62" i="1"/>
  <c r="J62" i="1"/>
  <c r="C61" i="1"/>
  <c r="I61" i="1" s="1"/>
  <c r="J61" i="1"/>
  <c r="C60" i="1"/>
  <c r="I60" i="1" s="1"/>
  <c r="J60" i="1"/>
  <c r="C59" i="1"/>
  <c r="I59" i="1" s="1"/>
  <c r="J59" i="1"/>
  <c r="I58" i="1"/>
  <c r="J58" i="1"/>
  <c r="C57" i="1"/>
  <c r="I57" i="1"/>
  <c r="J57" i="1"/>
  <c r="C56" i="1"/>
  <c r="I56" i="1" s="1"/>
  <c r="J56" i="1"/>
  <c r="I55" i="1"/>
  <c r="J55" i="1"/>
  <c r="C54" i="1"/>
  <c r="I54" i="1"/>
  <c r="J54" i="1"/>
  <c r="C53" i="1"/>
  <c r="I53" i="1"/>
  <c r="J53" i="1"/>
  <c r="C52" i="1"/>
  <c r="I52" i="1"/>
  <c r="J52" i="1"/>
  <c r="C51" i="1"/>
  <c r="I51" i="1" s="1"/>
  <c r="J51" i="1"/>
  <c r="C50" i="1"/>
  <c r="I50" i="1" s="1"/>
  <c r="J50" i="1"/>
  <c r="C49" i="1"/>
  <c r="I49" i="1" s="1"/>
  <c r="J49" i="1"/>
  <c r="C48" i="1"/>
  <c r="I48" i="1" s="1"/>
  <c r="J48" i="1"/>
  <c r="I47" i="1"/>
  <c r="A48" i="1" s="1"/>
  <c r="J47" i="1"/>
  <c r="C46" i="1"/>
  <c r="I46" i="1"/>
  <c r="J46" i="1"/>
  <c r="C45" i="1"/>
  <c r="I45" i="1"/>
  <c r="J45" i="1"/>
  <c r="C44" i="1"/>
  <c r="I44" i="1"/>
  <c r="J44" i="1"/>
  <c r="I43" i="1"/>
  <c r="J43" i="1"/>
  <c r="A42" i="1"/>
  <c r="C42" i="1"/>
  <c r="I42" i="1"/>
  <c r="A43" i="1" s="1"/>
  <c r="J42" i="1"/>
  <c r="I41" i="1"/>
  <c r="B42" i="1" s="1"/>
  <c r="J41" i="1"/>
  <c r="C40" i="1"/>
  <c r="I40" i="1"/>
  <c r="J40" i="1"/>
  <c r="C39" i="1"/>
  <c r="I39" i="1" s="1"/>
  <c r="J39" i="1"/>
  <c r="B38" i="1"/>
  <c r="I38" i="1"/>
  <c r="B39" i="1" s="1"/>
  <c r="J38" i="1"/>
  <c r="I37" i="1"/>
  <c r="A38" i="1" s="1"/>
  <c r="A39" i="1" s="1"/>
  <c r="J37" i="1"/>
  <c r="C36" i="1"/>
  <c r="J36" i="1"/>
  <c r="I35" i="1"/>
  <c r="J35" i="1"/>
  <c r="I34" i="1"/>
  <c r="B35" i="1" s="1"/>
  <c r="J34" i="1"/>
  <c r="A33" i="1"/>
  <c r="C33" i="1"/>
  <c r="I33" i="1"/>
  <c r="A34" i="1" s="1"/>
  <c r="J33" i="1"/>
  <c r="I32" i="1"/>
  <c r="B33" i="1" s="1"/>
  <c r="J32" i="1"/>
  <c r="C31" i="1"/>
  <c r="I31" i="1"/>
  <c r="J31" i="1"/>
  <c r="C30" i="1"/>
  <c r="I30" i="1" s="1"/>
  <c r="J30" i="1"/>
  <c r="I29" i="1"/>
  <c r="B30" i="1" s="1"/>
  <c r="J29" i="1"/>
  <c r="I28" i="1"/>
  <c r="A29" i="1" s="1"/>
  <c r="A30" i="1" s="1"/>
  <c r="J28" i="1"/>
  <c r="C27" i="1"/>
  <c r="I27" i="1" s="1"/>
  <c r="J27" i="1"/>
  <c r="C26" i="1"/>
  <c r="I26" i="1"/>
  <c r="J26" i="1"/>
  <c r="C25" i="1"/>
  <c r="I25" i="1" s="1"/>
  <c r="J25" i="1"/>
  <c r="C24" i="1"/>
  <c r="I24" i="1"/>
  <c r="J24" i="1"/>
  <c r="B23" i="1"/>
  <c r="I23" i="1"/>
  <c r="A24" i="1" s="1"/>
  <c r="J23" i="1"/>
  <c r="I22" i="1"/>
  <c r="A23" i="1" s="1"/>
  <c r="J22" i="1"/>
  <c r="A21" i="1"/>
  <c r="B21" i="1"/>
  <c r="C21" i="1"/>
  <c r="I21" i="1"/>
  <c r="A22" i="1" s="1"/>
  <c r="J21" i="1"/>
  <c r="I20" i="1"/>
  <c r="J20" i="1"/>
  <c r="C19" i="1"/>
  <c r="I19" i="1"/>
  <c r="C18" i="1"/>
  <c r="I18" i="1"/>
  <c r="J18" i="1"/>
  <c r="C17" i="1"/>
  <c r="I17" i="1"/>
  <c r="J17" i="1"/>
  <c r="C16" i="1"/>
  <c r="I16" i="1"/>
  <c r="B17" i="1" s="1"/>
  <c r="J16" i="1"/>
  <c r="I15" i="1"/>
  <c r="B16" i="1" s="1"/>
  <c r="A17" i="1" s="1"/>
  <c r="J15" i="1"/>
  <c r="C14" i="1"/>
  <c r="I14" i="1" s="1"/>
  <c r="J14" i="1"/>
  <c r="C13" i="1"/>
  <c r="I13" i="1"/>
  <c r="J13" i="1"/>
  <c r="C12" i="1"/>
  <c r="I12" i="1" s="1"/>
  <c r="J12" i="1"/>
  <c r="C11" i="1"/>
  <c r="I11" i="1" s="1"/>
  <c r="J11" i="1"/>
  <c r="C10" i="1"/>
  <c r="I10" i="1"/>
  <c r="J10" i="1"/>
  <c r="C9" i="1"/>
  <c r="I9" i="1" s="1"/>
  <c r="J9" i="1"/>
  <c r="J2" i="1"/>
  <c r="J3" i="1"/>
  <c r="J4" i="1"/>
  <c r="J5" i="1"/>
  <c r="J6" i="1"/>
  <c r="J7" i="1"/>
  <c r="J8" i="1"/>
  <c r="I8" i="1"/>
  <c r="B9" i="1" s="1"/>
  <c r="I7" i="1"/>
  <c r="I6" i="1"/>
  <c r="I5" i="1"/>
  <c r="C4" i="1"/>
  <c r="I4" i="1" s="1"/>
  <c r="C3" i="1"/>
  <c r="I3" i="1" s="1"/>
  <c r="I2" i="1"/>
  <c r="A3" i="1" s="1"/>
  <c r="B18" i="1" l="1"/>
  <c r="A40" i="1"/>
  <c r="B40" i="1"/>
  <c r="A31" i="1"/>
  <c r="B31" i="1"/>
  <c r="A25" i="1"/>
  <c r="A35" i="1"/>
  <c r="A18" i="1"/>
  <c r="A44" i="1"/>
  <c r="A45" i="1" s="1"/>
  <c r="B45" i="1"/>
  <c r="A46" i="1" s="1"/>
  <c r="A36" i="1"/>
  <c r="B48" i="1"/>
  <c r="A49" i="1" s="1"/>
  <c r="B44" i="1"/>
  <c r="B36" i="1"/>
  <c r="B25" i="1"/>
  <c r="A26" i="1" s="1"/>
  <c r="A9" i="1"/>
  <c r="A10" i="1" s="1"/>
  <c r="B10" i="1"/>
  <c r="B3" i="1"/>
  <c r="A4" i="1" s="1"/>
  <c r="A19" i="1" l="1"/>
  <c r="B19" i="1"/>
  <c r="B49" i="1"/>
  <c r="B46" i="1"/>
  <c r="B26" i="1"/>
  <c r="B11" i="1"/>
  <c r="A11" i="1"/>
  <c r="B4" i="1"/>
  <c r="A5" i="1" s="1"/>
  <c r="B27" i="1" l="1"/>
  <c r="A27" i="1"/>
  <c r="B50" i="1"/>
  <c r="A50" i="1"/>
  <c r="B5" i="1"/>
  <c r="A12" i="1"/>
  <c r="B12" i="1"/>
  <c r="B51" i="1" l="1"/>
  <c r="A51" i="1"/>
  <c r="A13" i="1"/>
  <c r="A52" i="1" l="1"/>
  <c r="B52" i="1"/>
  <c r="A14" i="1"/>
  <c r="B14" i="1"/>
  <c r="B53" i="1" l="1"/>
  <c r="A53" i="1"/>
  <c r="A54" i="1" l="1"/>
  <c r="B54" i="1"/>
  <c r="B55" i="1" l="1"/>
  <c r="A55" i="1"/>
  <c r="A56" i="1" l="1"/>
  <c r="B56" i="1"/>
  <c r="A57" i="1" l="1"/>
  <c r="B57" i="1"/>
  <c r="B58" i="1" l="1"/>
  <c r="A58" i="1"/>
  <c r="B59" i="1" l="1"/>
  <c r="A59" i="1"/>
  <c r="B60" i="1" l="1"/>
  <c r="A60" i="1"/>
  <c r="A61" i="1" l="1"/>
  <c r="B61" i="1"/>
  <c r="A62" i="1" l="1"/>
  <c r="B62" i="1"/>
  <c r="B63" i="1" l="1"/>
  <c r="A63" i="1"/>
</calcChain>
</file>

<file path=xl/sharedStrings.xml><?xml version="1.0" encoding="utf-8"?>
<sst xmlns="http://schemas.openxmlformats.org/spreadsheetml/2006/main" count="233" uniqueCount="54">
  <si>
    <t>down</t>
  </si>
  <si>
    <t>ytg</t>
  </si>
  <si>
    <t>start yl</t>
  </si>
  <si>
    <t>formation</t>
  </si>
  <si>
    <t>run/pass</t>
  </si>
  <si>
    <t>play</t>
  </si>
  <si>
    <t>playmaker</t>
  </si>
  <si>
    <t>end yl</t>
  </si>
  <si>
    <t>yard +/-</t>
  </si>
  <si>
    <t>td</t>
  </si>
  <si>
    <t>BSL WL</t>
  </si>
  <si>
    <t>Doubles</t>
  </si>
  <si>
    <t>Double TE</t>
  </si>
  <si>
    <t>run</t>
  </si>
  <si>
    <t>pass</t>
  </si>
  <si>
    <t>Dive</t>
  </si>
  <si>
    <t>Corner</t>
  </si>
  <si>
    <t>Slant</t>
  </si>
  <si>
    <t>Stretch Left</t>
  </si>
  <si>
    <t>Lead</t>
  </si>
  <si>
    <t>BSR WL</t>
  </si>
  <si>
    <t>BSR WR</t>
  </si>
  <si>
    <t>BSL WR</t>
  </si>
  <si>
    <t>Post</t>
  </si>
  <si>
    <t>Spread WR</t>
  </si>
  <si>
    <t>Spread WL</t>
  </si>
  <si>
    <t>Toss Left</t>
  </si>
  <si>
    <t>Quick Screen Left</t>
  </si>
  <si>
    <t>Curl</t>
  </si>
  <si>
    <t>Trips R WL</t>
  </si>
  <si>
    <t>Trips L WR</t>
  </si>
  <si>
    <t>Out</t>
  </si>
  <si>
    <t>pick</t>
  </si>
  <si>
    <t>Trips L WL</t>
  </si>
  <si>
    <t>BSL Stack WR</t>
  </si>
  <si>
    <t>Go</t>
  </si>
  <si>
    <t>Trips R TL</t>
  </si>
  <si>
    <t>Trips R WR</t>
  </si>
  <si>
    <t>Comeback</t>
  </si>
  <si>
    <t>Punt</t>
  </si>
  <si>
    <t>Quick Screen Right</t>
  </si>
  <si>
    <t>Toss Right</t>
  </si>
  <si>
    <t>QB Dive WC</t>
  </si>
  <si>
    <t>QB Scramble</t>
  </si>
  <si>
    <t>Row Labels</t>
  </si>
  <si>
    <t>Grand Total</t>
  </si>
  <si>
    <t>Sum of yard +/-</t>
  </si>
  <si>
    <t>Count of yard +/-</t>
  </si>
  <si>
    <t>Count of run/pass</t>
  </si>
  <si>
    <t>Average of yard +/-</t>
  </si>
  <si>
    <t>Sum of yard +/-2</t>
  </si>
  <si>
    <t>Average of yard +/-3</t>
  </si>
  <si>
    <t>Column Labels</t>
  </si>
  <si>
    <t xml:space="preserve">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</si>
</sst>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er Corn" refreshedDate="45953.002406134263" createdVersion="8" refreshedVersion="8" minRefreshableVersion="3" recordCount="62" xr:uid="{D85A5E67-BF13-4E45-B16D-384F66C08688}">
  <cacheSource type="worksheet">
    <worksheetSource name="Table1"/>
  </cacheSource>
  <cacheFields count="10">
    <cacheField name="down" numFmtId="0">
      <sharedItems containsSemiMixedTypes="0" containsString="0" containsNumber="1" containsInteger="1" minValue="1" maxValue="4"/>
    </cacheField>
    <cacheField name="ytg" numFmtId="0">
      <sharedItems containsSemiMixedTypes="0" containsString="0" containsNumber="1" containsInteger="1" minValue="1" maxValue="21"/>
    </cacheField>
    <cacheField name="start yl" numFmtId="0">
      <sharedItems containsSemiMixedTypes="0" containsString="0" containsNumber="1" containsInteger="1" minValue="13" maxValue="99"/>
    </cacheField>
    <cacheField name="formation" numFmtId="0">
      <sharedItems containsBlank="1" count="15">
        <s v="BSL WL"/>
        <s v="Doubles"/>
        <s v="Double TE"/>
        <s v="BSR WR"/>
        <s v="BSL WR"/>
        <s v="Spread WR"/>
        <s v="Spread WL"/>
        <s v="Trips R WL"/>
        <s v="Trips L WR"/>
        <s v="Trips L WL"/>
        <s v="BSL Stack WR"/>
        <s v="BSR WL"/>
        <s v="Trips R WR"/>
        <s v="Trips R TL"/>
        <m/>
      </sharedItems>
    </cacheField>
    <cacheField name="run/pass" numFmtId="0">
      <sharedItems containsBlank="1" count="3">
        <s v="run"/>
        <s v="pass"/>
        <m/>
      </sharedItems>
    </cacheField>
    <cacheField name="play" numFmtId="0">
      <sharedItems containsBlank="1"/>
    </cacheField>
    <cacheField name="playmaker" numFmtId="0">
      <sharedItems containsString="0" containsBlank="1" containsNumber="1" containsInteger="1" minValue="2" maxValue="77"/>
    </cacheField>
    <cacheField name="end yl" numFmtId="0">
      <sharedItems containsString="0" containsBlank="1" containsNumber="1" containsInteger="1" minValue="28" maxValue="100"/>
    </cacheField>
    <cacheField name="yard +/-" numFmtId="0">
      <sharedItems containsSemiMixedTypes="0" containsString="0" containsNumber="1" containsInteger="1" minValue="-46" maxValue="75"/>
    </cacheField>
    <cacheField name="td" numFmtId="0">
      <sharedItems count="3">
        <s v="no"/>
        <s v=" yes"/>
        <s v="pic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1"/>
    <n v="10"/>
    <n v="35"/>
    <x v="0"/>
    <x v="0"/>
    <s v="Stretch Left"/>
    <n v="21"/>
    <n v="36"/>
    <n v="1"/>
    <x v="0"/>
  </r>
  <r>
    <n v="2"/>
    <n v="9"/>
    <n v="36"/>
    <x v="0"/>
    <x v="0"/>
    <s v="Dive"/>
    <n v="38"/>
    <n v="38"/>
    <n v="2"/>
    <x v="0"/>
  </r>
  <r>
    <n v="3"/>
    <n v="7"/>
    <n v="38"/>
    <x v="1"/>
    <x v="0"/>
    <s v="Dive"/>
    <n v="13"/>
    <n v="43"/>
    <n v="5"/>
    <x v="0"/>
  </r>
  <r>
    <n v="4"/>
    <n v="2"/>
    <n v="43"/>
    <x v="1"/>
    <x v="1"/>
    <s v="Slant"/>
    <m/>
    <n v="58"/>
    <n v="15"/>
    <x v="0"/>
  </r>
  <r>
    <n v="1"/>
    <n v="10"/>
    <n v="58"/>
    <x v="1"/>
    <x v="1"/>
    <s v="Corner"/>
    <m/>
    <n v="96"/>
    <n v="38"/>
    <x v="0"/>
  </r>
  <r>
    <n v="1"/>
    <n v="10"/>
    <n v="96"/>
    <x v="2"/>
    <x v="0"/>
    <s v="Dive"/>
    <m/>
    <n v="100"/>
    <n v="4"/>
    <x v="1"/>
  </r>
  <r>
    <n v="1"/>
    <n v="10"/>
    <n v="53"/>
    <x v="0"/>
    <x v="0"/>
    <s v="Lead"/>
    <n v="6"/>
    <n v="56"/>
    <n v="3"/>
    <x v="0"/>
  </r>
  <r>
    <n v="2"/>
    <n v="7"/>
    <n v="56"/>
    <x v="3"/>
    <x v="0"/>
    <s v="Lead"/>
    <n v="52"/>
    <n v="57"/>
    <n v="1"/>
    <x v="0"/>
  </r>
  <r>
    <n v="3"/>
    <n v="6"/>
    <n v="57"/>
    <x v="4"/>
    <x v="1"/>
    <s v="Post"/>
    <m/>
    <n v="67"/>
    <n v="10"/>
    <x v="0"/>
  </r>
  <r>
    <n v="1"/>
    <n v="10"/>
    <n v="67"/>
    <x v="5"/>
    <x v="1"/>
    <s v="Post"/>
    <m/>
    <n v="67"/>
    <n v="0"/>
    <x v="0"/>
  </r>
  <r>
    <n v="2"/>
    <n v="10"/>
    <n v="67"/>
    <x v="6"/>
    <x v="1"/>
    <s v="Quick Screen Left"/>
    <n v="13"/>
    <n v="94"/>
    <n v="27"/>
    <x v="0"/>
  </r>
  <r>
    <n v="1"/>
    <n v="6"/>
    <n v="94"/>
    <x v="0"/>
    <x v="0"/>
    <s v="Toss Left"/>
    <n v="13"/>
    <n v="95"/>
    <n v="1"/>
    <x v="0"/>
  </r>
  <r>
    <n v="2"/>
    <n v="5"/>
    <n v="95"/>
    <x v="0"/>
    <x v="1"/>
    <s v="Quick Screen Left"/>
    <m/>
    <n v="100"/>
    <n v="5"/>
    <x v="1"/>
  </r>
  <r>
    <n v="1"/>
    <n v="10"/>
    <n v="32"/>
    <x v="3"/>
    <x v="0"/>
    <s v="Lead"/>
    <n v="13"/>
    <n v="32"/>
    <n v="0"/>
    <x v="0"/>
  </r>
  <r>
    <n v="2"/>
    <n v="10"/>
    <n v="32"/>
    <x v="3"/>
    <x v="1"/>
    <s v="Curl"/>
    <n v="21"/>
    <n v="35"/>
    <n v="3"/>
    <x v="0"/>
  </r>
  <r>
    <n v="3"/>
    <n v="7"/>
    <n v="35"/>
    <x v="7"/>
    <x v="1"/>
    <s v="Slant"/>
    <n v="2"/>
    <n v="49"/>
    <n v="14"/>
    <x v="0"/>
  </r>
  <r>
    <n v="1"/>
    <n v="10"/>
    <n v="49"/>
    <x v="8"/>
    <x v="1"/>
    <s v="Out"/>
    <n v="13"/>
    <n v="49"/>
    <n v="0"/>
    <x v="0"/>
  </r>
  <r>
    <n v="2"/>
    <n v="10"/>
    <n v="49"/>
    <x v="8"/>
    <x v="1"/>
    <s v="Slant"/>
    <n v="6"/>
    <n v="49"/>
    <n v="0"/>
    <x v="2"/>
  </r>
  <r>
    <n v="1"/>
    <n v="10"/>
    <n v="25"/>
    <x v="9"/>
    <x v="0"/>
    <s v="Dive"/>
    <n v="15"/>
    <n v="82"/>
    <n v="57"/>
    <x v="0"/>
  </r>
  <r>
    <n v="1"/>
    <n v="10"/>
    <n v="82"/>
    <x v="0"/>
    <x v="0"/>
    <s v="Lead"/>
    <m/>
    <n v="87"/>
    <n v="5"/>
    <x v="0"/>
  </r>
  <r>
    <n v="2"/>
    <n v="15"/>
    <n v="77"/>
    <x v="0"/>
    <x v="0"/>
    <s v="Lead"/>
    <m/>
    <n v="100"/>
    <n v="23"/>
    <x v="1"/>
  </r>
  <r>
    <n v="1"/>
    <n v="10"/>
    <n v="35"/>
    <x v="10"/>
    <x v="0"/>
    <s v="Dive"/>
    <n v="77"/>
    <n v="36"/>
    <n v="1"/>
    <x v="0"/>
  </r>
  <r>
    <n v="2"/>
    <n v="4"/>
    <n v="36"/>
    <x v="8"/>
    <x v="1"/>
    <s v="Curl"/>
    <n v="15"/>
    <n v="39"/>
    <n v="3"/>
    <x v="0"/>
  </r>
  <r>
    <n v="3"/>
    <n v="1"/>
    <n v="39"/>
    <x v="2"/>
    <x v="0"/>
    <s v="Dive"/>
    <m/>
    <n v="62"/>
    <n v="23"/>
    <x v="0"/>
  </r>
  <r>
    <n v="1"/>
    <n v="10"/>
    <n v="62"/>
    <x v="0"/>
    <x v="0"/>
    <s v="QB Dive WC"/>
    <n v="58"/>
    <n v="74"/>
    <n v="12"/>
    <x v="0"/>
  </r>
  <r>
    <n v="1"/>
    <n v="10"/>
    <n v="74"/>
    <x v="7"/>
    <x v="0"/>
    <s v="Dive"/>
    <m/>
    <n v="79"/>
    <n v="5"/>
    <x v="0"/>
  </r>
  <r>
    <n v="1"/>
    <n v="10"/>
    <n v="88"/>
    <x v="3"/>
    <x v="1"/>
    <s v="Go"/>
    <n v="6"/>
    <n v="88"/>
    <n v="0"/>
    <x v="0"/>
  </r>
  <r>
    <n v="2"/>
    <n v="5"/>
    <n v="93"/>
    <x v="4"/>
    <x v="1"/>
    <s v="Slant"/>
    <n v="22"/>
    <n v="93"/>
    <n v="0"/>
    <x v="0"/>
  </r>
  <r>
    <n v="3"/>
    <n v="5"/>
    <n v="93"/>
    <x v="4"/>
    <x v="0"/>
    <s v="QB Dive WC"/>
    <n v="6"/>
    <n v="99"/>
    <n v="6"/>
    <x v="0"/>
  </r>
  <r>
    <n v="1"/>
    <n v="10"/>
    <n v="99"/>
    <x v="4"/>
    <x v="0"/>
    <s v="QB Dive WC"/>
    <m/>
    <n v="100"/>
    <n v="1"/>
    <x v="1"/>
  </r>
  <r>
    <n v="1"/>
    <n v="10"/>
    <n v="31"/>
    <x v="11"/>
    <x v="0"/>
    <s v="Dive"/>
    <n v="15"/>
    <n v="49"/>
    <n v="18"/>
    <x v="0"/>
  </r>
  <r>
    <n v="1"/>
    <n v="10"/>
    <n v="49"/>
    <x v="11"/>
    <x v="0"/>
    <s v="Dive"/>
    <n v="6"/>
    <n v="86"/>
    <n v="37"/>
    <x v="0"/>
  </r>
  <r>
    <n v="1"/>
    <n v="15"/>
    <n v="81"/>
    <x v="0"/>
    <x v="0"/>
    <s v="QB Dive WC"/>
    <m/>
    <n v="100"/>
    <n v="19"/>
    <x v="1"/>
  </r>
  <r>
    <n v="1"/>
    <n v="10"/>
    <n v="17"/>
    <x v="12"/>
    <x v="1"/>
    <s v="Out"/>
    <n v="28"/>
    <n v="28"/>
    <n v="11"/>
    <x v="0"/>
  </r>
  <r>
    <n v="1"/>
    <n v="10"/>
    <n v="28"/>
    <x v="13"/>
    <x v="1"/>
    <s v="QB Scramble"/>
    <n v="52"/>
    <n v="31"/>
    <n v="3"/>
    <x v="0"/>
  </r>
  <r>
    <n v="1"/>
    <n v="10"/>
    <n v="45"/>
    <x v="8"/>
    <x v="1"/>
    <s v="Comeback"/>
    <m/>
    <n v="62"/>
    <n v="17"/>
    <x v="0"/>
  </r>
  <r>
    <n v="1"/>
    <n v="10"/>
    <n v="35"/>
    <x v="4"/>
    <x v="0"/>
    <s v="Lead"/>
    <n v="22"/>
    <n v="37"/>
    <n v="2"/>
    <x v="0"/>
  </r>
  <r>
    <n v="2"/>
    <n v="8"/>
    <n v="37"/>
    <x v="3"/>
    <x v="1"/>
    <s v="Slant"/>
    <n v="6"/>
    <n v="44"/>
    <n v="7"/>
    <x v="0"/>
  </r>
  <r>
    <n v="3"/>
    <n v="1"/>
    <n v="44"/>
    <x v="0"/>
    <x v="1"/>
    <s v="Quick Screen Left"/>
    <n v="20"/>
    <n v="36"/>
    <n v="-8"/>
    <x v="0"/>
  </r>
  <r>
    <n v="1"/>
    <n v="20"/>
    <n v="39"/>
    <x v="4"/>
    <x v="0"/>
    <s v="Lead"/>
    <n v="20"/>
    <n v="38"/>
    <n v="-1"/>
    <x v="0"/>
  </r>
  <r>
    <n v="2"/>
    <n v="21"/>
    <n v="38"/>
    <x v="7"/>
    <x v="1"/>
    <s v="Go"/>
    <m/>
    <n v="100"/>
    <n v="62"/>
    <x v="1"/>
  </r>
  <r>
    <n v="1"/>
    <n v="20"/>
    <n v="40"/>
    <x v="11"/>
    <x v="0"/>
    <s v="Lead"/>
    <n v="21"/>
    <n v="46"/>
    <n v="6"/>
    <x v="0"/>
  </r>
  <r>
    <n v="2"/>
    <n v="14"/>
    <n v="46"/>
    <x v="11"/>
    <x v="1"/>
    <s v="Slant"/>
    <m/>
    <n v="46"/>
    <n v="0"/>
    <x v="0"/>
  </r>
  <r>
    <n v="3"/>
    <n v="14"/>
    <n v="46"/>
    <x v="8"/>
    <x v="1"/>
    <s v="QB Scramble"/>
    <n v="52"/>
    <n v="46"/>
    <n v="0"/>
    <x v="0"/>
  </r>
  <r>
    <n v="4"/>
    <n v="14"/>
    <n v="46"/>
    <x v="14"/>
    <x v="2"/>
    <s v="Punt"/>
    <m/>
    <m/>
    <n v="-46"/>
    <x v="0"/>
  </r>
  <r>
    <n v="1"/>
    <n v="10"/>
    <n v="55"/>
    <x v="7"/>
    <x v="1"/>
    <s v="Quick Screen Right"/>
    <n v="21"/>
    <n v="64"/>
    <n v="9"/>
    <x v="0"/>
  </r>
  <r>
    <n v="2"/>
    <n v="1"/>
    <n v="64"/>
    <x v="8"/>
    <x v="1"/>
    <m/>
    <m/>
    <n v="58"/>
    <n v="-6"/>
    <x v="0"/>
  </r>
  <r>
    <n v="3"/>
    <n v="7"/>
    <n v="58"/>
    <x v="8"/>
    <x v="0"/>
    <s v="Dive"/>
    <m/>
    <n v="62"/>
    <n v="4"/>
    <x v="0"/>
  </r>
  <r>
    <n v="4"/>
    <n v="3"/>
    <n v="62"/>
    <x v="0"/>
    <x v="0"/>
    <s v="QB Dive WC"/>
    <m/>
    <n v="71"/>
    <n v="9"/>
    <x v="0"/>
  </r>
  <r>
    <n v="1"/>
    <n v="10"/>
    <n v="71"/>
    <x v="10"/>
    <x v="1"/>
    <s v="Quick Screen Left"/>
    <n v="2"/>
    <n v="75"/>
    <n v="4"/>
    <x v="0"/>
  </r>
  <r>
    <n v="2"/>
    <n v="6"/>
    <n v="75"/>
    <x v="4"/>
    <x v="1"/>
    <s v="Post"/>
    <n v="6"/>
    <n v="75"/>
    <n v="0"/>
    <x v="0"/>
  </r>
  <r>
    <n v="3"/>
    <n v="6"/>
    <n v="75"/>
    <x v="9"/>
    <x v="1"/>
    <s v="Slant"/>
    <n v="21"/>
    <n v="75"/>
    <n v="0"/>
    <x v="0"/>
  </r>
  <r>
    <n v="4"/>
    <n v="6"/>
    <n v="75"/>
    <x v="3"/>
    <x v="1"/>
    <s v="Quick Screen Right"/>
    <m/>
    <n v="100"/>
    <n v="25"/>
    <x v="1"/>
  </r>
  <r>
    <n v="1"/>
    <n v="10"/>
    <n v="13"/>
    <x v="10"/>
    <x v="0"/>
    <s v="Dive"/>
    <m/>
    <n v="88"/>
    <n v="75"/>
    <x v="0"/>
  </r>
  <r>
    <n v="1"/>
    <n v="10"/>
    <n v="88"/>
    <x v="11"/>
    <x v="0"/>
    <s v="Lead"/>
    <m/>
    <n v="93"/>
    <n v="5"/>
    <x v="0"/>
  </r>
  <r>
    <n v="2"/>
    <n v="5"/>
    <n v="93"/>
    <x v="0"/>
    <x v="0"/>
    <s v="Lead"/>
    <m/>
    <n v="100"/>
    <n v="7"/>
    <x v="1"/>
  </r>
  <r>
    <n v="1"/>
    <n v="10"/>
    <n v="41"/>
    <x v="4"/>
    <x v="0"/>
    <s v="Lead"/>
    <n v="21"/>
    <n v="40"/>
    <n v="-1"/>
    <x v="0"/>
  </r>
  <r>
    <n v="2"/>
    <n v="11"/>
    <n v="40"/>
    <x v="3"/>
    <x v="0"/>
    <s v="Toss Right"/>
    <m/>
    <n v="53"/>
    <n v="13"/>
    <x v="0"/>
  </r>
  <r>
    <n v="1"/>
    <n v="10"/>
    <n v="53"/>
    <x v="0"/>
    <x v="0"/>
    <s v="Toss Left"/>
    <n v="58"/>
    <n v="70"/>
    <n v="17"/>
    <x v="0"/>
  </r>
  <r>
    <n v="1"/>
    <n v="10"/>
    <n v="70"/>
    <x v="4"/>
    <x v="0"/>
    <s v="Lead"/>
    <m/>
    <n v="81"/>
    <n v="11"/>
    <x v="0"/>
  </r>
  <r>
    <n v="1"/>
    <n v="10"/>
    <n v="81"/>
    <x v="1"/>
    <x v="0"/>
    <s v="Dive"/>
    <m/>
    <n v="99"/>
    <n v="18"/>
    <x v="0"/>
  </r>
  <r>
    <n v="1"/>
    <n v="10"/>
    <n v="99"/>
    <x v="2"/>
    <x v="0"/>
    <s v="Dive"/>
    <m/>
    <n v="100"/>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291DF0-B17F-49C2-A5AC-584D2A34583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10">
    <pivotField showAll="0"/>
    <pivotField showAll="0"/>
    <pivotField showAll="0"/>
    <pivotField showAll="0"/>
    <pivotField axis="axisRow" showAll="0">
      <items count="4">
        <item x="1"/>
        <item x="0"/>
        <item h="1" x="2"/>
        <item t="default"/>
      </items>
    </pivotField>
    <pivotField showAll="0"/>
    <pivotField showAll="0"/>
    <pivotField showAll="0"/>
    <pivotField dataField="1" showAll="0"/>
    <pivotField showAll="0"/>
  </pivotFields>
  <rowFields count="1">
    <field x="4"/>
  </rowFields>
  <rowItems count="3">
    <i>
      <x/>
    </i>
    <i>
      <x v="1"/>
    </i>
    <i t="grand">
      <x/>
    </i>
  </rowItems>
  <colFields count="1">
    <field x="-2"/>
  </colFields>
  <colItems count="3">
    <i>
      <x/>
    </i>
    <i i="1">
      <x v="1"/>
    </i>
    <i i="2">
      <x v="2"/>
    </i>
  </colItems>
  <dataFields count="3">
    <dataField name="Count of yard +/-" fld="8" subtotal="count" baseField="4" baseItem="0"/>
    <dataField name="Sum of yard +/-" fld="8" baseField="0" baseItem="0"/>
    <dataField name="Average of yard +/-" fld="8"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575E77-FC8A-4124-8D1F-87A04836DDD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8" firstHeaderRow="0" firstDataRow="1" firstDataCol="1"/>
  <pivotFields count="10">
    <pivotField showAll="0"/>
    <pivotField showAll="0"/>
    <pivotField showAll="0"/>
    <pivotField axis="axisRow" showAll="0">
      <items count="16">
        <item x="10"/>
        <item x="0"/>
        <item x="4"/>
        <item x="11"/>
        <item x="3"/>
        <item x="2"/>
        <item x="1"/>
        <item x="6"/>
        <item x="5"/>
        <item x="9"/>
        <item x="8"/>
        <item x="13"/>
        <item x="7"/>
        <item x="12"/>
        <item h="1" x="14"/>
        <item t="default"/>
      </items>
    </pivotField>
    <pivotField showAll="0"/>
    <pivotField showAll="0"/>
    <pivotField showAll="0"/>
    <pivotField showAll="0"/>
    <pivotField dataField="1" showAll="0"/>
    <pivotField showAll="0"/>
  </pivotFields>
  <rowFields count="1">
    <field x="3"/>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Count of yard +/-" fld="8" subtotal="count" baseField="3" baseItem="0"/>
    <dataField name="Sum of yard +/-2" fld="8" baseField="0" baseItem="0"/>
    <dataField name="Average of yard +/-3" fld="8"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535401-A4B9-439C-9232-E6ADFEA9DCB5}"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10">
    <pivotField showAll="0"/>
    <pivotField showAll="0"/>
    <pivotField showAll="0"/>
    <pivotField axis="axisRow" showAll="0">
      <items count="16">
        <item x="10"/>
        <item x="0"/>
        <item x="4"/>
        <item x="11"/>
        <item x="3"/>
        <item x="2"/>
        <item x="1"/>
        <item x="6"/>
        <item x="5"/>
        <item x="9"/>
        <item x="8"/>
        <item x="13"/>
        <item x="7"/>
        <item x="12"/>
        <item h="1" x="14"/>
        <item t="default"/>
      </items>
    </pivotField>
    <pivotField axis="axisCol" dataField="1" showAll="0">
      <items count="4">
        <item x="1"/>
        <item x="0"/>
        <item h="1" x="2"/>
        <item t="default"/>
      </items>
    </pivotField>
    <pivotField showAll="0"/>
    <pivotField showAll="0"/>
    <pivotField showAll="0"/>
    <pivotField showAll="0"/>
    <pivotField axis="axisRow" showAll="0">
      <items count="4">
        <item x="1"/>
        <item h="1" x="0"/>
        <item h="1" x="2"/>
        <item t="default"/>
      </items>
    </pivotField>
  </pivotFields>
  <rowFields count="2">
    <field x="9"/>
    <field x="3"/>
  </rowFields>
  <rowItems count="7">
    <i>
      <x/>
    </i>
    <i r="1">
      <x v="1"/>
    </i>
    <i r="1">
      <x v="2"/>
    </i>
    <i r="1">
      <x v="4"/>
    </i>
    <i r="1">
      <x v="5"/>
    </i>
    <i r="1">
      <x v="12"/>
    </i>
    <i t="grand">
      <x/>
    </i>
  </rowItems>
  <colFields count="1">
    <field x="4"/>
  </colFields>
  <colItems count="3">
    <i>
      <x/>
    </i>
    <i>
      <x v="1"/>
    </i>
    <i t="grand">
      <x/>
    </i>
  </colItems>
  <dataFields count="1">
    <dataField name="Count of run/pas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D16982-BB14-4926-8F48-4E806BE529FA}" name="Table1" displayName="Table1" ref="A1:J63" totalsRowShown="0">
  <autoFilter ref="A1:J63" xr:uid="{D3D16982-BB14-4926-8F48-4E806BE529FA}"/>
  <tableColumns count="10">
    <tableColumn id="1" xr3:uid="{DDF7A210-D4A6-4693-BA35-A0FD78073635}" name="down">
      <calculatedColumnFormula>IF(I1&gt;=B1, 1, A1+1)</calculatedColumnFormula>
    </tableColumn>
    <tableColumn id="2" xr3:uid="{4543E22A-DCC2-44E0-A3BC-B07B3FDACAEB}" name="ytg">
      <calculatedColumnFormula>IF(I1&gt;=B1, 10, B1-I1)</calculatedColumnFormula>
    </tableColumn>
    <tableColumn id="3" xr3:uid="{05367D2F-5680-499E-B248-CEDE785B2048}" name="start yl">
      <calculatedColumnFormula>H1</calculatedColumnFormula>
    </tableColumn>
    <tableColumn id="4" xr3:uid="{C94FBD57-0362-45E9-9D93-792302A423D8}" name="formation"/>
    <tableColumn id="5" xr3:uid="{6CC5E497-FFCE-4049-AA80-3DC875065AED}" name="run/pass"/>
    <tableColumn id="6" xr3:uid="{E116C3DD-8C81-4D9D-85E4-2E6D3E36F616}" name="play"/>
    <tableColumn id="7" xr3:uid="{15DF76E0-8D1E-42CD-95B1-B862F668FFA7}" name="playmaker"/>
    <tableColumn id="8" xr3:uid="{AF44CCCD-3E4F-4476-AEDF-22AB99654049}" name="end yl"/>
    <tableColumn id="9" xr3:uid="{AF4D2B7C-33BB-4547-9F2F-1CC3CED7F47C}" name="yard +/-">
      <calculatedColumnFormula>H2-C2</calculatedColumnFormula>
    </tableColumn>
    <tableColumn id="10" xr3:uid="{1B1BEBD2-638E-43D3-B081-E74884393E7A}" name="td" dataDxfId="0">
      <calculatedColumnFormula>IF(H2=100," yes", "no")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462B-3A08-48CF-BE8C-ED7A24F8E3FB}">
  <dimension ref="A1:J63"/>
  <sheetViews>
    <sheetView tabSelected="1" workbookViewId="0">
      <selection activeCell="G32" sqref="G32"/>
    </sheetView>
  </sheetViews>
  <sheetFormatPr defaultRowHeight="15" x14ac:dyDescent="0.25"/>
  <cols>
    <col min="1" max="1" width="14.28515625" customWidth="1"/>
    <col min="2" max="2" width="13.85546875" customWidth="1"/>
    <col min="3" max="3" width="12" customWidth="1"/>
    <col min="4" max="4" width="16" customWidth="1"/>
    <col min="5" max="5" width="14.5703125" customWidth="1"/>
    <col min="6" max="6" width="19.140625" customWidth="1"/>
    <col min="7" max="7" width="14.140625" customWidth="1"/>
    <col min="8" max="8" width="13" customWidth="1"/>
    <col min="9" max="9" width="13.5703125" customWidth="1"/>
    <col min="10" max="10" width="12.140625" customWidth="1"/>
  </cols>
  <sheetData>
    <row r="1" spans="1:10" x14ac:dyDescent="0.25">
      <c r="A1" t="s">
        <v>0</v>
      </c>
      <c r="B1" t="s">
        <v>1</v>
      </c>
      <c r="C1" t="s">
        <v>2</v>
      </c>
      <c r="D1" t="s">
        <v>3</v>
      </c>
      <c r="E1" t="s">
        <v>4</v>
      </c>
      <c r="F1" t="s">
        <v>5</v>
      </c>
      <c r="G1" t="s">
        <v>6</v>
      </c>
      <c r="H1" t="s">
        <v>7</v>
      </c>
      <c r="I1" t="s">
        <v>8</v>
      </c>
      <c r="J1" t="s">
        <v>9</v>
      </c>
    </row>
    <row r="2" spans="1:10" x14ac:dyDescent="0.25">
      <c r="A2">
        <v>1</v>
      </c>
      <c r="B2">
        <v>10</v>
      </c>
      <c r="C2">
        <v>35</v>
      </c>
      <c r="D2" t="s">
        <v>10</v>
      </c>
      <c r="E2" t="s">
        <v>13</v>
      </c>
      <c r="F2" t="s">
        <v>18</v>
      </c>
      <c r="G2">
        <v>21</v>
      </c>
      <c r="H2">
        <v>36</v>
      </c>
      <c r="I2">
        <f t="shared" ref="I2:I35" si="0">H2-C2</f>
        <v>1</v>
      </c>
      <c r="J2" t="str">
        <f t="shared" ref="J2:J8" si="1">IF(H2=100," yes", "no")</f>
        <v>no</v>
      </c>
    </row>
    <row r="3" spans="1:10" x14ac:dyDescent="0.25">
      <c r="A3">
        <f>IF(I2&gt;=B2, 1, A2+1)</f>
        <v>2</v>
      </c>
      <c r="B3">
        <f>IF(I2&gt;=B2, 10, B2-I2)</f>
        <v>9</v>
      </c>
      <c r="C3">
        <f>H2</f>
        <v>36</v>
      </c>
      <c r="D3" t="s">
        <v>10</v>
      </c>
      <c r="E3" t="s">
        <v>13</v>
      </c>
      <c r="F3" t="s">
        <v>15</v>
      </c>
      <c r="G3">
        <v>38</v>
      </c>
      <c r="H3">
        <v>38</v>
      </c>
      <c r="I3">
        <f t="shared" si="0"/>
        <v>2</v>
      </c>
      <c r="J3" t="str">
        <f t="shared" si="1"/>
        <v>no</v>
      </c>
    </row>
    <row r="4" spans="1:10" x14ac:dyDescent="0.25">
      <c r="A4">
        <f>IF(I3&gt;=B3, 1, A3+1)</f>
        <v>3</v>
      </c>
      <c r="B4">
        <f>IF(I3&gt;=B3, 10, B3-I3)</f>
        <v>7</v>
      </c>
      <c r="C4">
        <f>H3</f>
        <v>38</v>
      </c>
      <c r="D4" t="s">
        <v>11</v>
      </c>
      <c r="E4" t="s">
        <v>13</v>
      </c>
      <c r="F4" t="s">
        <v>15</v>
      </c>
      <c r="G4">
        <v>13</v>
      </c>
      <c r="H4">
        <v>43</v>
      </c>
      <c r="I4">
        <f t="shared" si="0"/>
        <v>5</v>
      </c>
      <c r="J4" t="str">
        <f t="shared" si="1"/>
        <v>no</v>
      </c>
    </row>
    <row r="5" spans="1:10" x14ac:dyDescent="0.25">
      <c r="A5">
        <f>IF(I4&gt;=B4, 1, A4+1)</f>
        <v>4</v>
      </c>
      <c r="B5">
        <f>IF(I4&gt;=B4, 10, B4-I4)</f>
        <v>2</v>
      </c>
      <c r="C5">
        <v>43</v>
      </c>
      <c r="D5" t="s">
        <v>11</v>
      </c>
      <c r="E5" t="s">
        <v>14</v>
      </c>
      <c r="F5" t="s">
        <v>17</v>
      </c>
      <c r="H5">
        <v>58</v>
      </c>
      <c r="I5">
        <f t="shared" si="0"/>
        <v>15</v>
      </c>
      <c r="J5" t="str">
        <f t="shared" si="1"/>
        <v>no</v>
      </c>
    </row>
    <row r="6" spans="1:10" x14ac:dyDescent="0.25">
      <c r="A6">
        <v>1</v>
      </c>
      <c r="B6">
        <v>10</v>
      </c>
      <c r="C6">
        <v>58</v>
      </c>
      <c r="D6" t="s">
        <v>11</v>
      </c>
      <c r="E6" t="s">
        <v>14</v>
      </c>
      <c r="F6" t="s">
        <v>16</v>
      </c>
      <c r="H6">
        <v>96</v>
      </c>
      <c r="I6">
        <f t="shared" si="0"/>
        <v>38</v>
      </c>
      <c r="J6" t="str">
        <f t="shared" si="1"/>
        <v>no</v>
      </c>
    </row>
    <row r="7" spans="1:10" x14ac:dyDescent="0.25">
      <c r="A7">
        <v>1</v>
      </c>
      <c r="B7">
        <v>10</v>
      </c>
      <c r="C7">
        <v>96</v>
      </c>
      <c r="D7" t="s">
        <v>12</v>
      </c>
      <c r="E7" t="s">
        <v>13</v>
      </c>
      <c r="F7" t="s">
        <v>15</v>
      </c>
      <c r="H7">
        <v>100</v>
      </c>
      <c r="I7">
        <f t="shared" si="0"/>
        <v>4</v>
      </c>
      <c r="J7" t="str">
        <f t="shared" si="1"/>
        <v xml:space="preserve"> yes</v>
      </c>
    </row>
    <row r="8" spans="1:10" x14ac:dyDescent="0.25">
      <c r="A8">
        <v>1</v>
      </c>
      <c r="B8">
        <v>10</v>
      </c>
      <c r="C8">
        <v>53</v>
      </c>
      <c r="D8" t="s">
        <v>10</v>
      </c>
      <c r="E8" t="s">
        <v>13</v>
      </c>
      <c r="F8" t="s">
        <v>19</v>
      </c>
      <c r="G8">
        <v>6</v>
      </c>
      <c r="H8">
        <v>56</v>
      </c>
      <c r="I8">
        <f t="shared" si="0"/>
        <v>3</v>
      </c>
      <c r="J8" t="str">
        <f t="shared" si="1"/>
        <v>no</v>
      </c>
    </row>
    <row r="9" spans="1:10" x14ac:dyDescent="0.25">
      <c r="A9">
        <f t="shared" ref="A9:A14" si="2">IF(I8&gt;=B8, 1, A8+1)</f>
        <v>2</v>
      </c>
      <c r="B9">
        <f>IF(I8&gt;=B8, 10, B8-I8)</f>
        <v>7</v>
      </c>
      <c r="C9">
        <f t="shared" ref="C9:C14" si="3">H8</f>
        <v>56</v>
      </c>
      <c r="D9" t="s">
        <v>21</v>
      </c>
      <c r="E9" t="s">
        <v>13</v>
      </c>
      <c r="F9" t="s">
        <v>19</v>
      </c>
      <c r="G9">
        <v>52</v>
      </c>
      <c r="H9">
        <v>57</v>
      </c>
      <c r="I9">
        <f t="shared" si="0"/>
        <v>1</v>
      </c>
      <c r="J9" s="1" t="str">
        <f t="shared" ref="J9:J40" si="4">IF(H9=100," yes", "no")</f>
        <v>no</v>
      </c>
    </row>
    <row r="10" spans="1:10" x14ac:dyDescent="0.25">
      <c r="A10">
        <f t="shared" si="2"/>
        <v>3</v>
      </c>
      <c r="B10">
        <f>IF(I9&gt;=B9, 10, B9-I9)</f>
        <v>6</v>
      </c>
      <c r="C10">
        <f t="shared" si="3"/>
        <v>57</v>
      </c>
      <c r="D10" t="s">
        <v>22</v>
      </c>
      <c r="E10" t="s">
        <v>14</v>
      </c>
      <c r="F10" t="s">
        <v>23</v>
      </c>
      <c r="H10">
        <v>67</v>
      </c>
      <c r="I10">
        <f t="shared" si="0"/>
        <v>10</v>
      </c>
      <c r="J10" s="1" t="str">
        <f t="shared" si="4"/>
        <v>no</v>
      </c>
    </row>
    <row r="11" spans="1:10" x14ac:dyDescent="0.25">
      <c r="A11">
        <f t="shared" si="2"/>
        <v>1</v>
      </c>
      <c r="B11">
        <f>IF(I10&gt;=B10, 10, B10-I10)</f>
        <v>10</v>
      </c>
      <c r="C11">
        <f t="shared" si="3"/>
        <v>67</v>
      </c>
      <c r="D11" t="s">
        <v>24</v>
      </c>
      <c r="E11" t="s">
        <v>14</v>
      </c>
      <c r="F11" t="s">
        <v>23</v>
      </c>
      <c r="H11">
        <v>67</v>
      </c>
      <c r="I11">
        <f t="shared" si="0"/>
        <v>0</v>
      </c>
      <c r="J11" s="1" t="str">
        <f t="shared" si="4"/>
        <v>no</v>
      </c>
    </row>
    <row r="12" spans="1:10" x14ac:dyDescent="0.25">
      <c r="A12">
        <f t="shared" si="2"/>
        <v>2</v>
      </c>
      <c r="B12">
        <f>IF(I11&gt;=B11, 10, B11-I11)</f>
        <v>10</v>
      </c>
      <c r="C12">
        <f t="shared" si="3"/>
        <v>67</v>
      </c>
      <c r="D12" t="s">
        <v>25</v>
      </c>
      <c r="E12" t="s">
        <v>14</v>
      </c>
      <c r="F12" t="s">
        <v>27</v>
      </c>
      <c r="G12">
        <v>13</v>
      </c>
      <c r="H12">
        <v>94</v>
      </c>
      <c r="I12">
        <f t="shared" si="0"/>
        <v>27</v>
      </c>
      <c r="J12" s="1" t="str">
        <f t="shared" si="4"/>
        <v>no</v>
      </c>
    </row>
    <row r="13" spans="1:10" x14ac:dyDescent="0.25">
      <c r="A13">
        <f t="shared" si="2"/>
        <v>1</v>
      </c>
      <c r="B13">
        <v>6</v>
      </c>
      <c r="C13">
        <f t="shared" si="3"/>
        <v>94</v>
      </c>
      <c r="D13" t="s">
        <v>10</v>
      </c>
      <c r="E13" t="s">
        <v>13</v>
      </c>
      <c r="F13" t="s">
        <v>26</v>
      </c>
      <c r="G13">
        <v>13</v>
      </c>
      <c r="H13">
        <v>95</v>
      </c>
      <c r="I13">
        <f t="shared" si="0"/>
        <v>1</v>
      </c>
      <c r="J13" s="1" t="str">
        <f t="shared" si="4"/>
        <v>no</v>
      </c>
    </row>
    <row r="14" spans="1:10" x14ac:dyDescent="0.25">
      <c r="A14">
        <f t="shared" si="2"/>
        <v>2</v>
      </c>
      <c r="B14">
        <f>IF(I13&gt;=B13, 10, B13-I13)</f>
        <v>5</v>
      </c>
      <c r="C14">
        <f t="shared" si="3"/>
        <v>95</v>
      </c>
      <c r="D14" t="s">
        <v>10</v>
      </c>
      <c r="E14" t="s">
        <v>14</v>
      </c>
      <c r="F14" t="s">
        <v>27</v>
      </c>
      <c r="H14">
        <v>100</v>
      </c>
      <c r="I14">
        <f t="shared" si="0"/>
        <v>5</v>
      </c>
      <c r="J14" s="1" t="str">
        <f t="shared" si="4"/>
        <v xml:space="preserve"> yes</v>
      </c>
    </row>
    <row r="15" spans="1:10" x14ac:dyDescent="0.25">
      <c r="A15">
        <v>1</v>
      </c>
      <c r="B15">
        <v>10</v>
      </c>
      <c r="C15">
        <v>32</v>
      </c>
      <c r="D15" t="s">
        <v>21</v>
      </c>
      <c r="E15" t="s">
        <v>13</v>
      </c>
      <c r="F15" t="s">
        <v>19</v>
      </c>
      <c r="G15">
        <v>13</v>
      </c>
      <c r="H15">
        <v>32</v>
      </c>
      <c r="I15">
        <f t="shared" si="0"/>
        <v>0</v>
      </c>
      <c r="J15" s="1" t="str">
        <f t="shared" si="4"/>
        <v>no</v>
      </c>
    </row>
    <row r="16" spans="1:10" x14ac:dyDescent="0.25">
      <c r="A16">
        <v>2</v>
      </c>
      <c r="B16">
        <f>IF(I15&gt;=B15, 10, B15-I15)</f>
        <v>10</v>
      </c>
      <c r="C16">
        <f>H15</f>
        <v>32</v>
      </c>
      <c r="D16" t="s">
        <v>21</v>
      </c>
      <c r="E16" t="s">
        <v>14</v>
      </c>
      <c r="F16" t="s">
        <v>28</v>
      </c>
      <c r="G16">
        <v>21</v>
      </c>
      <c r="H16">
        <v>35</v>
      </c>
      <c r="I16">
        <f t="shared" si="0"/>
        <v>3</v>
      </c>
      <c r="J16" s="1" t="str">
        <f t="shared" si="4"/>
        <v>no</v>
      </c>
    </row>
    <row r="17" spans="1:10" x14ac:dyDescent="0.25">
      <c r="A17">
        <f>IF(I16&gt;=B16, 1, A16+1)</f>
        <v>3</v>
      </c>
      <c r="B17">
        <f>IF(I16&gt;=B16, 10, B16-I16)</f>
        <v>7</v>
      </c>
      <c r="C17">
        <f>H16</f>
        <v>35</v>
      </c>
      <c r="D17" t="s">
        <v>29</v>
      </c>
      <c r="E17" t="s">
        <v>14</v>
      </c>
      <c r="F17" t="s">
        <v>17</v>
      </c>
      <c r="G17">
        <v>2</v>
      </c>
      <c r="H17">
        <v>49</v>
      </c>
      <c r="I17">
        <f t="shared" si="0"/>
        <v>14</v>
      </c>
      <c r="J17" s="1" t="str">
        <f t="shared" si="4"/>
        <v>no</v>
      </c>
    </row>
    <row r="18" spans="1:10" x14ac:dyDescent="0.25">
      <c r="A18">
        <f>IF(I17&gt;=B17, 1, A17+1)</f>
        <v>1</v>
      </c>
      <c r="B18">
        <f>IF(I17&gt;=B17, 10, B17-I17)</f>
        <v>10</v>
      </c>
      <c r="C18">
        <f>H17</f>
        <v>49</v>
      </c>
      <c r="D18" t="s">
        <v>30</v>
      </c>
      <c r="E18" t="s">
        <v>14</v>
      </c>
      <c r="F18" t="s">
        <v>31</v>
      </c>
      <c r="G18">
        <v>13</v>
      </c>
      <c r="H18">
        <v>49</v>
      </c>
      <c r="I18">
        <f t="shared" si="0"/>
        <v>0</v>
      </c>
      <c r="J18" s="1" t="str">
        <f t="shared" si="4"/>
        <v>no</v>
      </c>
    </row>
    <row r="19" spans="1:10" x14ac:dyDescent="0.25">
      <c r="A19">
        <f>IF(I18&gt;=B18, 1, A18+1)</f>
        <v>2</v>
      </c>
      <c r="B19">
        <f>IF(I18&gt;=B18, 10, B18-I18)</f>
        <v>10</v>
      </c>
      <c r="C19">
        <f>H18</f>
        <v>49</v>
      </c>
      <c r="D19" t="s">
        <v>30</v>
      </c>
      <c r="E19" t="s">
        <v>14</v>
      </c>
      <c r="F19" t="s">
        <v>17</v>
      </c>
      <c r="G19">
        <v>6</v>
      </c>
      <c r="H19">
        <v>49</v>
      </c>
      <c r="I19">
        <f t="shared" si="0"/>
        <v>0</v>
      </c>
      <c r="J19" s="1" t="s">
        <v>32</v>
      </c>
    </row>
    <row r="20" spans="1:10" x14ac:dyDescent="0.25">
      <c r="A20">
        <v>1</v>
      </c>
      <c r="B20">
        <v>10</v>
      </c>
      <c r="C20">
        <v>25</v>
      </c>
      <c r="D20" t="s">
        <v>33</v>
      </c>
      <c r="E20" t="s">
        <v>13</v>
      </c>
      <c r="F20" t="s">
        <v>15</v>
      </c>
      <c r="G20">
        <v>15</v>
      </c>
      <c r="H20">
        <v>82</v>
      </c>
      <c r="I20">
        <f t="shared" si="0"/>
        <v>57</v>
      </c>
      <c r="J20" s="1" t="str">
        <f t="shared" si="4"/>
        <v>no</v>
      </c>
    </row>
    <row r="21" spans="1:10" x14ac:dyDescent="0.25">
      <c r="A21">
        <f t="shared" ref="A21:A27" si="5">IF(I20&gt;=B20, 1, A20+1)</f>
        <v>1</v>
      </c>
      <c r="B21">
        <f>IF(I20&gt;=B20, 10, B20-I20)</f>
        <v>10</v>
      </c>
      <c r="C21">
        <f>H20</f>
        <v>82</v>
      </c>
      <c r="D21" t="s">
        <v>10</v>
      </c>
      <c r="E21" t="s">
        <v>13</v>
      </c>
      <c r="F21" t="s">
        <v>19</v>
      </c>
      <c r="H21">
        <v>87</v>
      </c>
      <c r="I21">
        <f t="shared" si="0"/>
        <v>5</v>
      </c>
      <c r="J21" s="1" t="str">
        <f t="shared" si="4"/>
        <v>no</v>
      </c>
    </row>
    <row r="22" spans="1:10" x14ac:dyDescent="0.25">
      <c r="A22">
        <f t="shared" si="5"/>
        <v>2</v>
      </c>
      <c r="B22">
        <v>15</v>
      </c>
      <c r="C22">
        <v>77</v>
      </c>
      <c r="D22" t="s">
        <v>10</v>
      </c>
      <c r="E22" t="s">
        <v>13</v>
      </c>
      <c r="F22" t="s">
        <v>19</v>
      </c>
      <c r="H22">
        <v>100</v>
      </c>
      <c r="I22">
        <f t="shared" si="0"/>
        <v>23</v>
      </c>
      <c r="J22" s="1" t="str">
        <f t="shared" si="4"/>
        <v xml:space="preserve"> yes</v>
      </c>
    </row>
    <row r="23" spans="1:10" x14ac:dyDescent="0.25">
      <c r="A23">
        <f t="shared" si="5"/>
        <v>1</v>
      </c>
      <c r="B23">
        <f>IF(I22&gt;=B22, 10, B22-I22)</f>
        <v>10</v>
      </c>
      <c r="C23">
        <v>35</v>
      </c>
      <c r="D23" t="s">
        <v>34</v>
      </c>
      <c r="E23" t="s">
        <v>13</v>
      </c>
      <c r="F23" t="s">
        <v>15</v>
      </c>
      <c r="G23">
        <v>77</v>
      </c>
      <c r="H23">
        <v>36</v>
      </c>
      <c r="I23">
        <f t="shared" si="0"/>
        <v>1</v>
      </c>
      <c r="J23" s="1" t="str">
        <f t="shared" si="4"/>
        <v>no</v>
      </c>
    </row>
    <row r="24" spans="1:10" x14ac:dyDescent="0.25">
      <c r="A24">
        <f t="shared" si="5"/>
        <v>2</v>
      </c>
      <c r="B24">
        <v>4</v>
      </c>
      <c r="C24">
        <f>H23</f>
        <v>36</v>
      </c>
      <c r="D24" t="s">
        <v>30</v>
      </c>
      <c r="E24" t="s">
        <v>14</v>
      </c>
      <c r="F24" t="s">
        <v>28</v>
      </c>
      <c r="G24">
        <v>15</v>
      </c>
      <c r="H24">
        <v>39</v>
      </c>
      <c r="I24">
        <f t="shared" si="0"/>
        <v>3</v>
      </c>
      <c r="J24" s="1" t="str">
        <f t="shared" si="4"/>
        <v>no</v>
      </c>
    </row>
    <row r="25" spans="1:10" x14ac:dyDescent="0.25">
      <c r="A25">
        <f t="shared" si="5"/>
        <v>3</v>
      </c>
      <c r="B25">
        <f>IF(I24&gt;=B24, 10, B24-I24)</f>
        <v>1</v>
      </c>
      <c r="C25">
        <f>H24</f>
        <v>39</v>
      </c>
      <c r="D25" t="s">
        <v>12</v>
      </c>
      <c r="E25" t="s">
        <v>13</v>
      </c>
      <c r="F25" t="s">
        <v>15</v>
      </c>
      <c r="H25">
        <v>62</v>
      </c>
      <c r="I25">
        <f t="shared" si="0"/>
        <v>23</v>
      </c>
      <c r="J25" s="1" t="str">
        <f t="shared" si="4"/>
        <v>no</v>
      </c>
    </row>
    <row r="26" spans="1:10" x14ac:dyDescent="0.25">
      <c r="A26">
        <f t="shared" si="5"/>
        <v>1</v>
      </c>
      <c r="B26">
        <f>IF(I25&gt;=B25, 10, B25-I25)</f>
        <v>10</v>
      </c>
      <c r="C26">
        <f>H25</f>
        <v>62</v>
      </c>
      <c r="D26" t="s">
        <v>10</v>
      </c>
      <c r="E26" t="s">
        <v>13</v>
      </c>
      <c r="F26" t="s">
        <v>42</v>
      </c>
      <c r="G26">
        <v>58</v>
      </c>
      <c r="H26">
        <v>74</v>
      </c>
      <c r="I26">
        <f t="shared" si="0"/>
        <v>12</v>
      </c>
      <c r="J26" s="1" t="str">
        <f t="shared" si="4"/>
        <v>no</v>
      </c>
    </row>
    <row r="27" spans="1:10" x14ac:dyDescent="0.25">
      <c r="A27">
        <f t="shared" si="5"/>
        <v>1</v>
      </c>
      <c r="B27">
        <f>IF(I26&gt;=B26, 10, B26-I26)</f>
        <v>10</v>
      </c>
      <c r="C27">
        <f>H26</f>
        <v>74</v>
      </c>
      <c r="D27" t="s">
        <v>29</v>
      </c>
      <c r="E27" t="s">
        <v>13</v>
      </c>
      <c r="F27" t="s">
        <v>15</v>
      </c>
      <c r="H27">
        <v>79</v>
      </c>
      <c r="I27">
        <f t="shared" si="0"/>
        <v>5</v>
      </c>
      <c r="J27" s="1" t="str">
        <f t="shared" si="4"/>
        <v>no</v>
      </c>
    </row>
    <row r="28" spans="1:10" x14ac:dyDescent="0.25">
      <c r="A28">
        <v>1</v>
      </c>
      <c r="B28">
        <v>10</v>
      </c>
      <c r="C28">
        <v>88</v>
      </c>
      <c r="D28" t="s">
        <v>21</v>
      </c>
      <c r="E28" t="s">
        <v>14</v>
      </c>
      <c r="F28" t="s">
        <v>35</v>
      </c>
      <c r="G28">
        <v>6</v>
      </c>
      <c r="H28">
        <v>88</v>
      </c>
      <c r="I28">
        <f t="shared" si="0"/>
        <v>0</v>
      </c>
      <c r="J28" s="1" t="str">
        <f t="shared" si="4"/>
        <v>no</v>
      </c>
    </row>
    <row r="29" spans="1:10" x14ac:dyDescent="0.25">
      <c r="A29">
        <f>IF(I28&gt;=B28, 1, A28+1)</f>
        <v>2</v>
      </c>
      <c r="B29">
        <v>5</v>
      </c>
      <c r="C29">
        <v>93</v>
      </c>
      <c r="D29" t="s">
        <v>22</v>
      </c>
      <c r="E29" t="s">
        <v>14</v>
      </c>
      <c r="F29" t="s">
        <v>17</v>
      </c>
      <c r="G29">
        <v>22</v>
      </c>
      <c r="H29">
        <v>93</v>
      </c>
      <c r="I29">
        <f t="shared" si="0"/>
        <v>0</v>
      </c>
      <c r="J29" s="1" t="str">
        <f t="shared" si="4"/>
        <v>no</v>
      </c>
    </row>
    <row r="30" spans="1:10" x14ac:dyDescent="0.25">
      <c r="A30">
        <f>IF(I29&gt;=B29, 1, A29+1)</f>
        <v>3</v>
      </c>
      <c r="B30">
        <f>IF(I29&gt;=B29, 10, B29-I29)</f>
        <v>5</v>
      </c>
      <c r="C30">
        <f>H29</f>
        <v>93</v>
      </c>
      <c r="D30" t="s">
        <v>22</v>
      </c>
      <c r="E30" t="s">
        <v>13</v>
      </c>
      <c r="F30" t="s">
        <v>42</v>
      </c>
      <c r="G30">
        <v>6</v>
      </c>
      <c r="H30">
        <v>99</v>
      </c>
      <c r="I30">
        <f t="shared" si="0"/>
        <v>6</v>
      </c>
      <c r="J30" s="1" t="str">
        <f t="shared" si="4"/>
        <v>no</v>
      </c>
    </row>
    <row r="31" spans="1:10" x14ac:dyDescent="0.25">
      <c r="A31">
        <f>IF(I30&gt;=B30, 1, A30+1)</f>
        <v>1</v>
      </c>
      <c r="B31">
        <f>IF(I30&gt;=B30, 10, B30-I30)</f>
        <v>10</v>
      </c>
      <c r="C31">
        <f>H30</f>
        <v>99</v>
      </c>
      <c r="D31" t="s">
        <v>22</v>
      </c>
      <c r="E31" t="s">
        <v>13</v>
      </c>
      <c r="F31" t="s">
        <v>42</v>
      </c>
      <c r="H31">
        <v>100</v>
      </c>
      <c r="I31">
        <f t="shared" si="0"/>
        <v>1</v>
      </c>
      <c r="J31" s="1" t="str">
        <f t="shared" si="4"/>
        <v xml:space="preserve"> yes</v>
      </c>
    </row>
    <row r="32" spans="1:10" x14ac:dyDescent="0.25">
      <c r="A32">
        <v>1</v>
      </c>
      <c r="B32">
        <v>10</v>
      </c>
      <c r="C32">
        <v>31</v>
      </c>
      <c r="D32" t="s">
        <v>20</v>
      </c>
      <c r="E32" t="s">
        <v>13</v>
      </c>
      <c r="F32" t="s">
        <v>15</v>
      </c>
      <c r="G32">
        <v>15</v>
      </c>
      <c r="H32">
        <v>49</v>
      </c>
      <c r="I32">
        <f t="shared" si="0"/>
        <v>18</v>
      </c>
      <c r="J32" s="1" t="str">
        <f t="shared" si="4"/>
        <v>no</v>
      </c>
    </row>
    <row r="33" spans="1:10" x14ac:dyDescent="0.25">
      <c r="A33">
        <f>IF(I32&gt;=B32, 1, A32+1)</f>
        <v>1</v>
      </c>
      <c r="B33">
        <f>IF(I32&gt;=B32, 10, B32-I32)</f>
        <v>10</v>
      </c>
      <c r="C33">
        <f>H32</f>
        <v>49</v>
      </c>
      <c r="D33" t="s">
        <v>20</v>
      </c>
      <c r="E33" t="s">
        <v>13</v>
      </c>
      <c r="F33" t="s">
        <v>15</v>
      </c>
      <c r="G33">
        <v>6</v>
      </c>
      <c r="H33">
        <v>86</v>
      </c>
      <c r="I33">
        <f t="shared" si="0"/>
        <v>37</v>
      </c>
      <c r="J33" s="1" t="str">
        <f t="shared" si="4"/>
        <v>no</v>
      </c>
    </row>
    <row r="34" spans="1:10" x14ac:dyDescent="0.25">
      <c r="A34">
        <f>IF(I33&gt;=B33, 1, A33+1)</f>
        <v>1</v>
      </c>
      <c r="B34">
        <v>15</v>
      </c>
      <c r="C34">
        <v>81</v>
      </c>
      <c r="D34" t="s">
        <v>10</v>
      </c>
      <c r="E34" t="s">
        <v>13</v>
      </c>
      <c r="F34" t="s">
        <v>42</v>
      </c>
      <c r="H34">
        <v>100</v>
      </c>
      <c r="I34">
        <f t="shared" si="0"/>
        <v>19</v>
      </c>
      <c r="J34" s="1" t="str">
        <f t="shared" si="4"/>
        <v xml:space="preserve"> yes</v>
      </c>
    </row>
    <row r="35" spans="1:10" x14ac:dyDescent="0.25">
      <c r="A35">
        <f>IF(I34&gt;=B34, 1, A34+1)</f>
        <v>1</v>
      </c>
      <c r="B35">
        <f>IF(I34&gt;=B34, 10, B34-I34)</f>
        <v>10</v>
      </c>
      <c r="C35">
        <v>17</v>
      </c>
      <c r="D35" t="s">
        <v>37</v>
      </c>
      <c r="E35" t="s">
        <v>14</v>
      </c>
      <c r="F35" t="s">
        <v>31</v>
      </c>
      <c r="G35">
        <v>28</v>
      </c>
      <c r="H35">
        <v>28</v>
      </c>
      <c r="I35">
        <f t="shared" si="0"/>
        <v>11</v>
      </c>
      <c r="J35" s="1" t="str">
        <f t="shared" si="4"/>
        <v>no</v>
      </c>
    </row>
    <row r="36" spans="1:10" x14ac:dyDescent="0.25">
      <c r="A36">
        <f>IF(I35&gt;=B35, 1, A35+1)</f>
        <v>1</v>
      </c>
      <c r="B36">
        <f>IF(I35&gt;=B35, 10, B35-I35)</f>
        <v>10</v>
      </c>
      <c r="C36">
        <f>H35</f>
        <v>28</v>
      </c>
      <c r="D36" t="s">
        <v>36</v>
      </c>
      <c r="E36" t="s">
        <v>14</v>
      </c>
      <c r="F36" t="s">
        <v>43</v>
      </c>
      <c r="G36">
        <v>52</v>
      </c>
      <c r="H36">
        <v>31</v>
      </c>
      <c r="I36">
        <v>3</v>
      </c>
      <c r="J36" s="1" t="str">
        <f t="shared" si="4"/>
        <v>no</v>
      </c>
    </row>
    <row r="37" spans="1:10" x14ac:dyDescent="0.25">
      <c r="A37">
        <v>1</v>
      </c>
      <c r="B37">
        <v>10</v>
      </c>
      <c r="C37">
        <v>45</v>
      </c>
      <c r="D37" t="s">
        <v>30</v>
      </c>
      <c r="E37" t="s">
        <v>14</v>
      </c>
      <c r="F37" t="s">
        <v>38</v>
      </c>
      <c r="H37">
        <v>62</v>
      </c>
      <c r="I37">
        <f t="shared" ref="I37:I63" si="6">H37-C37</f>
        <v>17</v>
      </c>
      <c r="J37" s="1" t="str">
        <f t="shared" si="4"/>
        <v>no</v>
      </c>
    </row>
    <row r="38" spans="1:10" x14ac:dyDescent="0.25">
      <c r="A38">
        <f>IF(I37&gt;=B37, 1, A37+1)</f>
        <v>1</v>
      </c>
      <c r="B38">
        <f>IF(I37&gt;=B37, 10, B37-I37)</f>
        <v>10</v>
      </c>
      <c r="C38">
        <v>35</v>
      </c>
      <c r="D38" t="s">
        <v>22</v>
      </c>
      <c r="E38" t="s">
        <v>13</v>
      </c>
      <c r="F38" t="s">
        <v>19</v>
      </c>
      <c r="G38">
        <v>22</v>
      </c>
      <c r="H38">
        <v>37</v>
      </c>
      <c r="I38">
        <f t="shared" si="6"/>
        <v>2</v>
      </c>
      <c r="J38" s="1" t="str">
        <f t="shared" si="4"/>
        <v>no</v>
      </c>
    </row>
    <row r="39" spans="1:10" x14ac:dyDescent="0.25">
      <c r="A39">
        <f>IF(I38&gt;=B38, 1, A38+1)</f>
        <v>2</v>
      </c>
      <c r="B39">
        <f>IF(I38&gt;=B38, 10, B38-I38)</f>
        <v>8</v>
      </c>
      <c r="C39">
        <f>H38</f>
        <v>37</v>
      </c>
      <c r="D39" t="s">
        <v>21</v>
      </c>
      <c r="E39" t="s">
        <v>14</v>
      </c>
      <c r="F39" t="s">
        <v>17</v>
      </c>
      <c r="G39">
        <v>6</v>
      </c>
      <c r="H39">
        <v>44</v>
      </c>
      <c r="I39">
        <f t="shared" si="6"/>
        <v>7</v>
      </c>
      <c r="J39" s="1" t="str">
        <f t="shared" si="4"/>
        <v>no</v>
      </c>
    </row>
    <row r="40" spans="1:10" x14ac:dyDescent="0.25">
      <c r="A40">
        <f>IF(I39&gt;=B39, 1, A39+1)</f>
        <v>3</v>
      </c>
      <c r="B40">
        <f>IF(I39&gt;=B39, 10, B39-I39)</f>
        <v>1</v>
      </c>
      <c r="C40">
        <f>H39</f>
        <v>44</v>
      </c>
      <c r="D40" t="s">
        <v>10</v>
      </c>
      <c r="E40" t="s">
        <v>14</v>
      </c>
      <c r="F40" t="s">
        <v>27</v>
      </c>
      <c r="G40">
        <v>20</v>
      </c>
      <c r="H40">
        <v>36</v>
      </c>
      <c r="I40">
        <f t="shared" si="6"/>
        <v>-8</v>
      </c>
      <c r="J40" s="1" t="str">
        <f t="shared" si="4"/>
        <v>no</v>
      </c>
    </row>
    <row r="41" spans="1:10" x14ac:dyDescent="0.25">
      <c r="A41">
        <v>1</v>
      </c>
      <c r="B41">
        <v>20</v>
      </c>
      <c r="C41">
        <v>39</v>
      </c>
      <c r="D41" t="s">
        <v>22</v>
      </c>
      <c r="E41" t="s">
        <v>13</v>
      </c>
      <c r="F41" t="s">
        <v>19</v>
      </c>
      <c r="G41">
        <v>20</v>
      </c>
      <c r="H41">
        <v>38</v>
      </c>
      <c r="I41">
        <f t="shared" si="6"/>
        <v>-1</v>
      </c>
      <c r="J41" s="1" t="str">
        <f t="shared" ref="J41:J63" si="7">IF(H41=100," yes", "no")</f>
        <v>no</v>
      </c>
    </row>
    <row r="42" spans="1:10" x14ac:dyDescent="0.25">
      <c r="A42">
        <f>IF(I41&gt;=B41, 1, A41+1)</f>
        <v>2</v>
      </c>
      <c r="B42">
        <f>IF(I41&gt;=B41, 10, B41-I41)</f>
        <v>21</v>
      </c>
      <c r="C42">
        <f>H41</f>
        <v>38</v>
      </c>
      <c r="D42" t="s">
        <v>29</v>
      </c>
      <c r="E42" t="s">
        <v>14</v>
      </c>
      <c r="F42" t="s">
        <v>35</v>
      </c>
      <c r="H42">
        <v>100</v>
      </c>
      <c r="I42">
        <f t="shared" si="6"/>
        <v>62</v>
      </c>
      <c r="J42" s="1" t="str">
        <f t="shared" si="7"/>
        <v xml:space="preserve"> yes</v>
      </c>
    </row>
    <row r="43" spans="1:10" x14ac:dyDescent="0.25">
      <c r="A43">
        <f>IF(I42&gt;=B42, 1, A42+1)</f>
        <v>1</v>
      </c>
      <c r="B43">
        <v>20</v>
      </c>
      <c r="C43">
        <v>40</v>
      </c>
      <c r="D43" t="s">
        <v>20</v>
      </c>
      <c r="E43" t="s">
        <v>13</v>
      </c>
      <c r="F43" t="s">
        <v>19</v>
      </c>
      <c r="G43">
        <v>21</v>
      </c>
      <c r="H43">
        <v>46</v>
      </c>
      <c r="I43">
        <f t="shared" si="6"/>
        <v>6</v>
      </c>
      <c r="J43" s="1" t="str">
        <f t="shared" si="7"/>
        <v>no</v>
      </c>
    </row>
    <row r="44" spans="1:10" x14ac:dyDescent="0.25">
      <c r="A44">
        <f>IF(I43&gt;=B43, 1, A43+1)</f>
        <v>2</v>
      </c>
      <c r="B44">
        <f>IF(I43&gt;=B43, 10, B43-I43)</f>
        <v>14</v>
      </c>
      <c r="C44">
        <f>H43</f>
        <v>46</v>
      </c>
      <c r="D44" t="s">
        <v>20</v>
      </c>
      <c r="E44" t="s">
        <v>14</v>
      </c>
      <c r="F44" t="s">
        <v>17</v>
      </c>
      <c r="H44">
        <v>46</v>
      </c>
      <c r="I44">
        <f t="shared" si="6"/>
        <v>0</v>
      </c>
      <c r="J44" s="1" t="str">
        <f t="shared" si="7"/>
        <v>no</v>
      </c>
    </row>
    <row r="45" spans="1:10" x14ac:dyDescent="0.25">
      <c r="A45">
        <f>IF(I44&gt;=B44, 1, A44+1)</f>
        <v>3</v>
      </c>
      <c r="B45">
        <f>IF(I44&gt;=B44, 10, B44-I44)</f>
        <v>14</v>
      </c>
      <c r="C45">
        <f>H44</f>
        <v>46</v>
      </c>
      <c r="D45" t="s">
        <v>30</v>
      </c>
      <c r="E45" t="s">
        <v>14</v>
      </c>
      <c r="F45" t="s">
        <v>43</v>
      </c>
      <c r="G45">
        <v>52</v>
      </c>
      <c r="H45">
        <v>46</v>
      </c>
      <c r="I45">
        <f t="shared" si="6"/>
        <v>0</v>
      </c>
      <c r="J45" s="1" t="str">
        <f t="shared" si="7"/>
        <v>no</v>
      </c>
    </row>
    <row r="46" spans="1:10" x14ac:dyDescent="0.25">
      <c r="A46">
        <f>IF(I45&gt;=B45, 1, A45+1)</f>
        <v>4</v>
      </c>
      <c r="B46">
        <f>IF(I45&gt;=B45, 10, B45-I45)</f>
        <v>14</v>
      </c>
      <c r="C46">
        <f>H45</f>
        <v>46</v>
      </c>
      <c r="F46" t="s">
        <v>39</v>
      </c>
      <c r="I46">
        <f t="shared" si="6"/>
        <v>-46</v>
      </c>
      <c r="J46" s="1" t="str">
        <f t="shared" si="7"/>
        <v>no</v>
      </c>
    </row>
    <row r="47" spans="1:10" x14ac:dyDescent="0.25">
      <c r="A47">
        <v>1</v>
      </c>
      <c r="B47">
        <v>10</v>
      </c>
      <c r="C47">
        <v>55</v>
      </c>
      <c r="D47" t="s">
        <v>29</v>
      </c>
      <c r="E47" t="s">
        <v>14</v>
      </c>
      <c r="F47" t="s">
        <v>40</v>
      </c>
      <c r="G47">
        <v>21</v>
      </c>
      <c r="H47">
        <v>64</v>
      </c>
      <c r="I47">
        <f t="shared" si="6"/>
        <v>9</v>
      </c>
      <c r="J47" s="1" t="str">
        <f t="shared" si="7"/>
        <v>no</v>
      </c>
    </row>
    <row r="48" spans="1:10" x14ac:dyDescent="0.25">
      <c r="A48">
        <f t="shared" ref="A48:A63" si="8">IF(I47&gt;=B47, 1, A47+1)</f>
        <v>2</v>
      </c>
      <c r="B48">
        <f t="shared" ref="B48:B63" si="9">IF(I47&gt;=B47, 10, B47-I47)</f>
        <v>1</v>
      </c>
      <c r="C48">
        <f t="shared" ref="C48:C54" si="10">H47</f>
        <v>64</v>
      </c>
      <c r="D48" t="s">
        <v>30</v>
      </c>
      <c r="E48" t="s">
        <v>14</v>
      </c>
      <c r="H48">
        <v>58</v>
      </c>
      <c r="I48">
        <f t="shared" si="6"/>
        <v>-6</v>
      </c>
      <c r="J48" s="1" t="str">
        <f t="shared" si="7"/>
        <v>no</v>
      </c>
    </row>
    <row r="49" spans="1:10" x14ac:dyDescent="0.25">
      <c r="A49">
        <f t="shared" si="8"/>
        <v>3</v>
      </c>
      <c r="B49">
        <f t="shared" si="9"/>
        <v>7</v>
      </c>
      <c r="C49">
        <f t="shared" si="10"/>
        <v>58</v>
      </c>
      <c r="D49" t="s">
        <v>30</v>
      </c>
      <c r="E49" t="s">
        <v>13</v>
      </c>
      <c r="F49" t="s">
        <v>15</v>
      </c>
      <c r="H49">
        <v>62</v>
      </c>
      <c r="I49">
        <f t="shared" si="6"/>
        <v>4</v>
      </c>
      <c r="J49" s="1" t="str">
        <f t="shared" si="7"/>
        <v>no</v>
      </c>
    </row>
    <row r="50" spans="1:10" x14ac:dyDescent="0.25">
      <c r="A50">
        <f t="shared" si="8"/>
        <v>4</v>
      </c>
      <c r="B50">
        <f t="shared" si="9"/>
        <v>3</v>
      </c>
      <c r="C50">
        <f t="shared" si="10"/>
        <v>62</v>
      </c>
      <c r="D50" t="s">
        <v>10</v>
      </c>
      <c r="E50" t="s">
        <v>13</v>
      </c>
      <c r="F50" t="s">
        <v>42</v>
      </c>
      <c r="H50">
        <v>71</v>
      </c>
      <c r="I50">
        <f t="shared" si="6"/>
        <v>9</v>
      </c>
      <c r="J50" s="1" t="str">
        <f t="shared" si="7"/>
        <v>no</v>
      </c>
    </row>
    <row r="51" spans="1:10" x14ac:dyDescent="0.25">
      <c r="A51">
        <f t="shared" si="8"/>
        <v>1</v>
      </c>
      <c r="B51">
        <f t="shared" si="9"/>
        <v>10</v>
      </c>
      <c r="C51">
        <f t="shared" si="10"/>
        <v>71</v>
      </c>
      <c r="D51" t="s">
        <v>34</v>
      </c>
      <c r="E51" t="s">
        <v>14</v>
      </c>
      <c r="F51" t="s">
        <v>27</v>
      </c>
      <c r="G51">
        <v>2</v>
      </c>
      <c r="H51">
        <v>75</v>
      </c>
      <c r="I51">
        <f t="shared" si="6"/>
        <v>4</v>
      </c>
      <c r="J51" s="1" t="str">
        <f t="shared" si="7"/>
        <v>no</v>
      </c>
    </row>
    <row r="52" spans="1:10" x14ac:dyDescent="0.25">
      <c r="A52">
        <f t="shared" si="8"/>
        <v>2</v>
      </c>
      <c r="B52">
        <f t="shared" si="9"/>
        <v>6</v>
      </c>
      <c r="C52">
        <f t="shared" si="10"/>
        <v>75</v>
      </c>
      <c r="D52" t="s">
        <v>22</v>
      </c>
      <c r="E52" t="s">
        <v>14</v>
      </c>
      <c r="F52" t="s">
        <v>23</v>
      </c>
      <c r="G52">
        <v>6</v>
      </c>
      <c r="H52">
        <v>75</v>
      </c>
      <c r="I52">
        <f t="shared" si="6"/>
        <v>0</v>
      </c>
      <c r="J52" s="1" t="str">
        <f t="shared" si="7"/>
        <v>no</v>
      </c>
    </row>
    <row r="53" spans="1:10" x14ac:dyDescent="0.25">
      <c r="A53">
        <f t="shared" si="8"/>
        <v>3</v>
      </c>
      <c r="B53">
        <f t="shared" si="9"/>
        <v>6</v>
      </c>
      <c r="C53">
        <f t="shared" si="10"/>
        <v>75</v>
      </c>
      <c r="D53" t="s">
        <v>33</v>
      </c>
      <c r="E53" t="s">
        <v>14</v>
      </c>
      <c r="F53" t="s">
        <v>17</v>
      </c>
      <c r="G53">
        <v>21</v>
      </c>
      <c r="H53">
        <v>75</v>
      </c>
      <c r="I53">
        <f t="shared" si="6"/>
        <v>0</v>
      </c>
      <c r="J53" s="1" t="str">
        <f t="shared" si="7"/>
        <v>no</v>
      </c>
    </row>
    <row r="54" spans="1:10" x14ac:dyDescent="0.25">
      <c r="A54">
        <f t="shared" si="8"/>
        <v>4</v>
      </c>
      <c r="B54">
        <f t="shared" si="9"/>
        <v>6</v>
      </c>
      <c r="C54">
        <f t="shared" si="10"/>
        <v>75</v>
      </c>
      <c r="D54" t="s">
        <v>21</v>
      </c>
      <c r="E54" t="s">
        <v>14</v>
      </c>
      <c r="F54" t="s">
        <v>40</v>
      </c>
      <c r="H54">
        <v>100</v>
      </c>
      <c r="I54">
        <f t="shared" si="6"/>
        <v>25</v>
      </c>
      <c r="J54" s="1" t="str">
        <f t="shared" si="7"/>
        <v xml:space="preserve"> yes</v>
      </c>
    </row>
    <row r="55" spans="1:10" x14ac:dyDescent="0.25">
      <c r="A55">
        <f t="shared" si="8"/>
        <v>1</v>
      </c>
      <c r="B55">
        <f t="shared" si="9"/>
        <v>10</v>
      </c>
      <c r="C55">
        <v>13</v>
      </c>
      <c r="D55" t="s">
        <v>34</v>
      </c>
      <c r="E55" t="s">
        <v>13</v>
      </c>
      <c r="F55" t="s">
        <v>15</v>
      </c>
      <c r="H55">
        <v>88</v>
      </c>
      <c r="I55">
        <f t="shared" si="6"/>
        <v>75</v>
      </c>
      <c r="J55" s="1" t="str">
        <f t="shared" si="7"/>
        <v>no</v>
      </c>
    </row>
    <row r="56" spans="1:10" x14ac:dyDescent="0.25">
      <c r="A56">
        <f t="shared" si="8"/>
        <v>1</v>
      </c>
      <c r="B56">
        <f t="shared" si="9"/>
        <v>10</v>
      </c>
      <c r="C56">
        <f>H55</f>
        <v>88</v>
      </c>
      <c r="D56" t="s">
        <v>20</v>
      </c>
      <c r="E56" t="s">
        <v>13</v>
      </c>
      <c r="F56" t="s">
        <v>19</v>
      </c>
      <c r="H56">
        <v>93</v>
      </c>
      <c r="I56">
        <f t="shared" si="6"/>
        <v>5</v>
      </c>
      <c r="J56" s="1" t="str">
        <f t="shared" si="7"/>
        <v>no</v>
      </c>
    </row>
    <row r="57" spans="1:10" x14ac:dyDescent="0.25">
      <c r="A57">
        <f t="shared" si="8"/>
        <v>2</v>
      </c>
      <c r="B57">
        <f t="shared" si="9"/>
        <v>5</v>
      </c>
      <c r="C57">
        <f>H56</f>
        <v>93</v>
      </c>
      <c r="D57" t="s">
        <v>10</v>
      </c>
      <c r="E57" t="s">
        <v>13</v>
      </c>
      <c r="F57" t="s">
        <v>19</v>
      </c>
      <c r="H57">
        <v>100</v>
      </c>
      <c r="I57">
        <f t="shared" si="6"/>
        <v>7</v>
      </c>
      <c r="J57" s="1" t="str">
        <f t="shared" si="7"/>
        <v xml:space="preserve"> yes</v>
      </c>
    </row>
    <row r="58" spans="1:10" x14ac:dyDescent="0.25">
      <c r="A58">
        <f t="shared" si="8"/>
        <v>1</v>
      </c>
      <c r="B58">
        <f t="shared" si="9"/>
        <v>10</v>
      </c>
      <c r="C58">
        <v>41</v>
      </c>
      <c r="D58" t="s">
        <v>22</v>
      </c>
      <c r="E58" t="s">
        <v>13</v>
      </c>
      <c r="F58" t="s">
        <v>19</v>
      </c>
      <c r="G58">
        <v>21</v>
      </c>
      <c r="H58">
        <v>40</v>
      </c>
      <c r="I58">
        <f t="shared" si="6"/>
        <v>-1</v>
      </c>
      <c r="J58" s="1" t="str">
        <f t="shared" si="7"/>
        <v>no</v>
      </c>
    </row>
    <row r="59" spans="1:10" x14ac:dyDescent="0.25">
      <c r="A59">
        <f t="shared" si="8"/>
        <v>2</v>
      </c>
      <c r="B59">
        <f t="shared" si="9"/>
        <v>11</v>
      </c>
      <c r="C59">
        <f>H58</f>
        <v>40</v>
      </c>
      <c r="D59" t="s">
        <v>21</v>
      </c>
      <c r="E59" t="s">
        <v>13</v>
      </c>
      <c r="F59" t="s">
        <v>41</v>
      </c>
      <c r="H59">
        <v>53</v>
      </c>
      <c r="I59">
        <f t="shared" si="6"/>
        <v>13</v>
      </c>
      <c r="J59" s="1" t="str">
        <f t="shared" si="7"/>
        <v>no</v>
      </c>
    </row>
    <row r="60" spans="1:10" x14ac:dyDescent="0.25">
      <c r="A60">
        <f t="shared" si="8"/>
        <v>1</v>
      </c>
      <c r="B60">
        <f t="shared" si="9"/>
        <v>10</v>
      </c>
      <c r="C60">
        <f>H59</f>
        <v>53</v>
      </c>
      <c r="D60" t="s">
        <v>10</v>
      </c>
      <c r="E60" t="s">
        <v>13</v>
      </c>
      <c r="F60" t="s">
        <v>26</v>
      </c>
      <c r="G60">
        <v>58</v>
      </c>
      <c r="H60">
        <v>70</v>
      </c>
      <c r="I60">
        <f t="shared" si="6"/>
        <v>17</v>
      </c>
      <c r="J60" s="1" t="str">
        <f t="shared" si="7"/>
        <v>no</v>
      </c>
    </row>
    <row r="61" spans="1:10" x14ac:dyDescent="0.25">
      <c r="A61">
        <f t="shared" si="8"/>
        <v>1</v>
      </c>
      <c r="B61">
        <f t="shared" si="9"/>
        <v>10</v>
      </c>
      <c r="C61">
        <f>H60</f>
        <v>70</v>
      </c>
      <c r="D61" t="s">
        <v>22</v>
      </c>
      <c r="E61" t="s">
        <v>13</v>
      </c>
      <c r="F61" t="s">
        <v>19</v>
      </c>
      <c r="H61">
        <v>81</v>
      </c>
      <c r="I61">
        <f t="shared" si="6"/>
        <v>11</v>
      </c>
      <c r="J61" s="1" t="str">
        <f t="shared" si="7"/>
        <v>no</v>
      </c>
    </row>
    <row r="62" spans="1:10" x14ac:dyDescent="0.25">
      <c r="A62">
        <f t="shared" si="8"/>
        <v>1</v>
      </c>
      <c r="B62">
        <f t="shared" si="9"/>
        <v>10</v>
      </c>
      <c r="C62">
        <f>H61</f>
        <v>81</v>
      </c>
      <c r="D62" t="s">
        <v>11</v>
      </c>
      <c r="E62" t="s">
        <v>13</v>
      </c>
      <c r="F62" t="s">
        <v>15</v>
      </c>
      <c r="H62">
        <v>99</v>
      </c>
      <c r="I62">
        <f t="shared" si="6"/>
        <v>18</v>
      </c>
      <c r="J62" s="1" t="str">
        <f t="shared" si="7"/>
        <v>no</v>
      </c>
    </row>
    <row r="63" spans="1:10" x14ac:dyDescent="0.25">
      <c r="A63">
        <f t="shared" si="8"/>
        <v>1</v>
      </c>
      <c r="B63">
        <f t="shared" si="9"/>
        <v>10</v>
      </c>
      <c r="C63">
        <f>H62</f>
        <v>99</v>
      </c>
      <c r="D63" t="s">
        <v>12</v>
      </c>
      <c r="E63" t="s">
        <v>13</v>
      </c>
      <c r="F63" t="s">
        <v>15</v>
      </c>
      <c r="H63">
        <v>100</v>
      </c>
      <c r="I63">
        <f t="shared" si="6"/>
        <v>1</v>
      </c>
      <c r="J63" s="1" t="str">
        <f t="shared" si="7"/>
        <v xml:space="preserve"> yes</v>
      </c>
    </row>
  </sheetData>
  <dataValidations count="3">
    <dataValidation type="list" allowBlank="1" showInputMessage="1" showErrorMessage="1" sqref="D1:D1048576" xr:uid="{52F98B7A-EB84-49E2-AD4A-30F13E8D9B01}">
      <formula1>"BSL WR, BSL WL, BSR WR, BSR WL, Doubles, BSL Stack WR, BSR Stack WL, Trips L WL, Trips L WR, Trips R WL, Trips R WR, Trips L TR, Trips R TL, Trips Bunch L, Trips Bunch R, WL TR, WR TL, Spread Stack R, Spread Stack L, Spread WL, Spread WR, Double TE"</formula1>
    </dataValidation>
    <dataValidation type="list" allowBlank="1" showInputMessage="1" showErrorMessage="1" sqref="E1:E1048576" xr:uid="{D11F766B-1F91-41EC-AE41-339EA3D2D340}">
      <formula1>"run, pass"</formula1>
    </dataValidation>
    <dataValidation type="list" allowBlank="1" showInputMessage="1" showErrorMessage="1" sqref="F1:F25 F27:F29 F32:F33 F35 F37:F44 F46:F49 F51:F1048576" xr:uid="{B3ED6DD3-7D86-4AF5-8FBD-C558D9B1F02E}">
      <formula1>"Punt, Dive, Lead, Stretch Left, Stretch Right, Toss Left, Toss Right, Trap Left, Trap Right, Quick Screen Left, Quick Screen Right, Slant, Curl, Out, Corner, Post, Go, Drag, Bubble Left, Bubble Right, Pick Pass, Zone Read, Comeback, Zone Read, SwpL, SwpR"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F8507-549E-4E35-BB3E-279C429B5F21}">
  <dimension ref="A3:D6"/>
  <sheetViews>
    <sheetView workbookViewId="0">
      <selection activeCell="A3" sqref="A3"/>
    </sheetView>
  </sheetViews>
  <sheetFormatPr defaultRowHeight="15" x14ac:dyDescent="0.25"/>
  <cols>
    <col min="1" max="1" width="13.42578125" bestFit="1" customWidth="1"/>
    <col min="2" max="2" width="16.140625" bestFit="1" customWidth="1"/>
    <col min="3" max="3" width="14.5703125" bestFit="1" customWidth="1"/>
    <col min="4" max="4" width="17.85546875" bestFit="1" customWidth="1"/>
  </cols>
  <sheetData>
    <row r="3" spans="1:4" x14ac:dyDescent="0.25">
      <c r="A3" s="2" t="s">
        <v>44</v>
      </c>
      <c r="B3" t="s">
        <v>47</v>
      </c>
      <c r="C3" t="s">
        <v>46</v>
      </c>
      <c r="D3" t="s">
        <v>49</v>
      </c>
    </row>
    <row r="4" spans="1:4" x14ac:dyDescent="0.25">
      <c r="A4" s="3" t="s">
        <v>14</v>
      </c>
      <c r="B4" s="1">
        <v>27</v>
      </c>
      <c r="C4" s="1">
        <v>239</v>
      </c>
      <c r="D4" s="1">
        <v>8.8518518518518512</v>
      </c>
    </row>
    <row r="5" spans="1:4" x14ac:dyDescent="0.25">
      <c r="A5" s="3" t="s">
        <v>13</v>
      </c>
      <c r="B5" s="1">
        <v>34</v>
      </c>
      <c r="C5" s="1">
        <v>390</v>
      </c>
      <c r="D5" s="1">
        <v>11.470588235294118</v>
      </c>
    </row>
    <row r="6" spans="1:4" x14ac:dyDescent="0.25">
      <c r="A6" s="3" t="s">
        <v>45</v>
      </c>
      <c r="B6" s="1">
        <v>61</v>
      </c>
      <c r="C6" s="1">
        <v>629</v>
      </c>
      <c r="D6" s="1">
        <v>10.311475409836065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4317-064F-4CF5-8E4B-2AB35AAF5027}">
  <dimension ref="A3:D18"/>
  <sheetViews>
    <sheetView workbookViewId="0">
      <selection activeCell="A3" sqref="A3"/>
    </sheetView>
  </sheetViews>
  <sheetFormatPr defaultRowHeight="15" x14ac:dyDescent="0.25"/>
  <cols>
    <col min="1" max="1" width="13.42578125" bestFit="1" customWidth="1"/>
    <col min="2" max="2" width="16.140625" bestFit="1" customWidth="1"/>
    <col min="3" max="3" width="15.5703125" bestFit="1" customWidth="1"/>
    <col min="4" max="4" width="18.85546875" bestFit="1" customWidth="1"/>
  </cols>
  <sheetData>
    <row r="3" spans="1:4" x14ac:dyDescent="0.25">
      <c r="A3" s="2" t="s">
        <v>44</v>
      </c>
      <c r="B3" t="s">
        <v>47</v>
      </c>
      <c r="C3" t="s">
        <v>50</v>
      </c>
      <c r="D3" t="s">
        <v>51</v>
      </c>
    </row>
    <row r="4" spans="1:4" x14ac:dyDescent="0.25">
      <c r="A4" s="3" t="s">
        <v>34</v>
      </c>
      <c r="B4" s="1">
        <v>3</v>
      </c>
      <c r="C4" s="1">
        <v>80</v>
      </c>
      <c r="D4" s="1">
        <v>26.666666666666668</v>
      </c>
    </row>
    <row r="5" spans="1:4" x14ac:dyDescent="0.25">
      <c r="A5" s="3" t="s">
        <v>10</v>
      </c>
      <c r="B5" s="1">
        <v>13</v>
      </c>
      <c r="C5" s="1">
        <v>96</v>
      </c>
      <c r="D5" s="1">
        <v>7.384615384615385</v>
      </c>
    </row>
    <row r="6" spans="1:4" x14ac:dyDescent="0.25">
      <c r="A6" s="3" t="s">
        <v>22</v>
      </c>
      <c r="B6" s="1">
        <v>9</v>
      </c>
      <c r="C6" s="1">
        <v>28</v>
      </c>
      <c r="D6" s="1">
        <v>3.1111111111111112</v>
      </c>
    </row>
    <row r="7" spans="1:4" x14ac:dyDescent="0.25">
      <c r="A7" s="3" t="s">
        <v>20</v>
      </c>
      <c r="B7" s="1">
        <v>5</v>
      </c>
      <c r="C7" s="1">
        <v>66</v>
      </c>
      <c r="D7" s="1">
        <v>13.2</v>
      </c>
    </row>
    <row r="8" spans="1:4" x14ac:dyDescent="0.25">
      <c r="A8" s="3" t="s">
        <v>21</v>
      </c>
      <c r="B8" s="1">
        <v>7</v>
      </c>
      <c r="C8" s="1">
        <v>49</v>
      </c>
      <c r="D8" s="1">
        <v>7</v>
      </c>
    </row>
    <row r="9" spans="1:4" x14ac:dyDescent="0.25">
      <c r="A9" s="3" t="s">
        <v>12</v>
      </c>
      <c r="B9" s="1">
        <v>3</v>
      </c>
      <c r="C9" s="1">
        <v>28</v>
      </c>
      <c r="D9" s="1">
        <v>9.3333333333333339</v>
      </c>
    </row>
    <row r="10" spans="1:4" x14ac:dyDescent="0.25">
      <c r="A10" s="3" t="s">
        <v>11</v>
      </c>
      <c r="B10" s="1">
        <v>4</v>
      </c>
      <c r="C10" s="1">
        <v>76</v>
      </c>
      <c r="D10" s="1">
        <v>19</v>
      </c>
    </row>
    <row r="11" spans="1:4" x14ac:dyDescent="0.25">
      <c r="A11" s="3" t="s">
        <v>25</v>
      </c>
      <c r="B11" s="1">
        <v>1</v>
      </c>
      <c r="C11" s="1">
        <v>27</v>
      </c>
      <c r="D11" s="1">
        <v>27</v>
      </c>
    </row>
    <row r="12" spans="1:4" x14ac:dyDescent="0.25">
      <c r="A12" s="3" t="s">
        <v>24</v>
      </c>
      <c r="B12" s="1">
        <v>1</v>
      </c>
      <c r="C12" s="1">
        <v>0</v>
      </c>
      <c r="D12" s="1">
        <v>0</v>
      </c>
    </row>
    <row r="13" spans="1:4" x14ac:dyDescent="0.25">
      <c r="A13" s="3" t="s">
        <v>33</v>
      </c>
      <c r="B13" s="1">
        <v>2</v>
      </c>
      <c r="C13" s="1">
        <v>57</v>
      </c>
      <c r="D13" s="1">
        <v>28.5</v>
      </c>
    </row>
    <row r="14" spans="1:4" x14ac:dyDescent="0.25">
      <c r="A14" s="3" t="s">
        <v>30</v>
      </c>
      <c r="B14" s="1">
        <v>7</v>
      </c>
      <c r="C14" s="1">
        <v>18</v>
      </c>
      <c r="D14" s="1">
        <v>2.5714285714285716</v>
      </c>
    </row>
    <row r="15" spans="1:4" x14ac:dyDescent="0.25">
      <c r="A15" s="3" t="s">
        <v>36</v>
      </c>
      <c r="B15" s="1">
        <v>1</v>
      </c>
      <c r="C15" s="1">
        <v>3</v>
      </c>
      <c r="D15" s="1">
        <v>3</v>
      </c>
    </row>
    <row r="16" spans="1:4" x14ac:dyDescent="0.25">
      <c r="A16" s="3" t="s">
        <v>29</v>
      </c>
      <c r="B16" s="1">
        <v>4</v>
      </c>
      <c r="C16" s="1">
        <v>90</v>
      </c>
      <c r="D16" s="1">
        <v>22.5</v>
      </c>
    </row>
    <row r="17" spans="1:4" x14ac:dyDescent="0.25">
      <c r="A17" s="3" t="s">
        <v>37</v>
      </c>
      <c r="B17" s="1">
        <v>1</v>
      </c>
      <c r="C17" s="1">
        <v>11</v>
      </c>
      <c r="D17" s="1">
        <v>11</v>
      </c>
    </row>
    <row r="18" spans="1:4" x14ac:dyDescent="0.25">
      <c r="A18" s="3" t="s">
        <v>45</v>
      </c>
      <c r="B18" s="1">
        <v>61</v>
      </c>
      <c r="C18" s="1">
        <v>629</v>
      </c>
      <c r="D18" s="1">
        <v>10.311475409836065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3B8D6-7417-4097-A4FC-F93E9F2B9AD9}">
  <dimension ref="A3:D11"/>
  <sheetViews>
    <sheetView workbookViewId="0">
      <selection activeCell="A3" sqref="A3"/>
    </sheetView>
  </sheetViews>
  <sheetFormatPr defaultRowHeight="15" x14ac:dyDescent="0.25"/>
  <cols>
    <col min="1" max="1" width="17.42578125" bestFit="1" customWidth="1"/>
    <col min="2" max="2" width="16.85546875" bestFit="1" customWidth="1"/>
    <col min="3" max="3" width="4" bestFit="1" customWidth="1"/>
    <col min="4" max="5" width="11.28515625" bestFit="1" customWidth="1"/>
  </cols>
  <sheetData>
    <row r="3" spans="1:4" x14ac:dyDescent="0.25">
      <c r="A3" s="2" t="s">
        <v>48</v>
      </c>
      <c r="B3" s="2" t="s">
        <v>52</v>
      </c>
    </row>
    <row r="4" spans="1:4" x14ac:dyDescent="0.25">
      <c r="A4" s="2" t="s">
        <v>44</v>
      </c>
      <c r="B4" t="s">
        <v>14</v>
      </c>
      <c r="C4" t="s">
        <v>13</v>
      </c>
      <c r="D4" t="s">
        <v>45</v>
      </c>
    </row>
    <row r="5" spans="1:4" x14ac:dyDescent="0.25">
      <c r="A5" s="3" t="s">
        <v>53</v>
      </c>
      <c r="B5" s="1">
        <v>3</v>
      </c>
      <c r="C5" s="1">
        <v>6</v>
      </c>
      <c r="D5" s="1">
        <v>9</v>
      </c>
    </row>
    <row r="6" spans="1:4" x14ac:dyDescent="0.25">
      <c r="A6" s="4" t="s">
        <v>10</v>
      </c>
      <c r="B6" s="1">
        <v>1</v>
      </c>
      <c r="C6" s="1">
        <v>3</v>
      </c>
      <c r="D6" s="1">
        <v>4</v>
      </c>
    </row>
    <row r="7" spans="1:4" x14ac:dyDescent="0.25">
      <c r="A7" s="4" t="s">
        <v>22</v>
      </c>
      <c r="B7" s="1"/>
      <c r="C7" s="1">
        <v>1</v>
      </c>
      <c r="D7" s="1">
        <v>1</v>
      </c>
    </row>
    <row r="8" spans="1:4" x14ac:dyDescent="0.25">
      <c r="A8" s="4" t="s">
        <v>21</v>
      </c>
      <c r="B8" s="1">
        <v>1</v>
      </c>
      <c r="C8" s="1"/>
      <c r="D8" s="1">
        <v>1</v>
      </c>
    </row>
    <row r="9" spans="1:4" x14ac:dyDescent="0.25">
      <c r="A9" s="4" t="s">
        <v>12</v>
      </c>
      <c r="B9" s="1"/>
      <c r="C9" s="1">
        <v>2</v>
      </c>
      <c r="D9" s="1">
        <v>2</v>
      </c>
    </row>
    <row r="10" spans="1:4" x14ac:dyDescent="0.25">
      <c r="A10" s="4" t="s">
        <v>29</v>
      </c>
      <c r="B10" s="1">
        <v>1</v>
      </c>
      <c r="C10" s="1"/>
      <c r="D10" s="1">
        <v>1</v>
      </c>
    </row>
    <row r="11" spans="1:4" x14ac:dyDescent="0.25">
      <c r="A11" s="3" t="s">
        <v>45</v>
      </c>
      <c r="B11" s="1">
        <v>3</v>
      </c>
      <c r="C11" s="1">
        <v>6</v>
      </c>
      <c r="D11" s="1">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Play By Play</vt:lpstr>
      <vt:lpstr>Run_Pass_Stats</vt:lpstr>
      <vt:lpstr>Formation_Stats</vt:lpstr>
      <vt:lpstr>TD_Stats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Tanner Corn</dc:creator>
  <cp:lastModifiedBy>Tanner Corn</cp:lastModifiedBy>
  <dcterms:created xsi:type="dcterms:W3CDTF">2025-10-10T22:46:40Z</dcterms:created>
  <dcterms:modified xsi:type="dcterms:W3CDTF">2025-10-23T05:12:18Z</dcterms:modified>
</cp:coreProperties>
</file>